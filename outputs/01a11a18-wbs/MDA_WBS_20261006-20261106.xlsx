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Win11Pro\Documents\ChatGPT\기업프로젝트 cad\outputs\01a11a18-wbs\"/>
    </mc:Choice>
  </mc:AlternateContent>
  <xr:revisionPtr revIDLastSave="0" documentId="13_ncr:1_{9972A75C-5108-4DD7-9BA3-CED93F79C77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WBS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2" i="1" l="1"/>
  <c r="G43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I7" i="1"/>
  <c r="J7" i="1" s="1"/>
  <c r="K7" i="1" s="1"/>
  <c r="L7" i="1" s="1"/>
  <c r="M7" i="1" s="1"/>
  <c r="N7" i="1" s="1"/>
  <c r="O7" i="1" s="1"/>
  <c r="P7" i="1" s="1"/>
  <c r="Q7" i="1" s="1"/>
  <c r="R7" i="1" s="1"/>
  <c r="S7" i="1" s="1"/>
  <c r="T7" i="1" s="1"/>
  <c r="U7" i="1" s="1"/>
  <c r="V7" i="1" s="1"/>
  <c r="W7" i="1" s="1"/>
  <c r="X7" i="1" s="1"/>
  <c r="Y7" i="1" s="1"/>
  <c r="Z7" i="1" s="1"/>
  <c r="AA7" i="1" s="1"/>
  <c r="AB7" i="1" s="1"/>
  <c r="AC7" i="1" s="1"/>
  <c r="AD7" i="1" s="1"/>
  <c r="AE7" i="1" s="1"/>
  <c r="AF7" i="1" s="1"/>
  <c r="AG7" i="1" s="1"/>
  <c r="AH7" i="1" s="1"/>
  <c r="AI7" i="1" s="1"/>
  <c r="AJ7" i="1" s="1"/>
  <c r="AK7" i="1" s="1"/>
  <c r="AL7" i="1" s="1"/>
  <c r="AM7" i="1" s="1"/>
  <c r="AN7" i="1" s="1"/>
  <c r="I2" i="1"/>
</calcChain>
</file>

<file path=xl/sharedStrings.xml><?xml version="1.0" encoding="utf-8"?>
<sst xmlns="http://schemas.openxmlformats.org/spreadsheetml/2006/main" count="128" uniqueCount="91">
  <si>
    <t>프로젝트 이름</t>
  </si>
  <si>
    <t>팀원</t>
  </si>
  <si>
    <t>프로젝트 관리자</t>
  </si>
  <si>
    <t>프로젝트 기간</t>
  </si>
  <si>
    <t>WBS 번호</t>
  </si>
  <si>
    <t>작업 제목</t>
  </si>
  <si>
    <t>담당자</t>
  </si>
  <si>
    <t>산출물</t>
  </si>
  <si>
    <t>시작일</t>
  </si>
  <si>
    <t>마감일</t>
  </si>
  <si>
    <t>작업 완료 비율</t>
  </si>
  <si>
    <t>팀원 전체</t>
  </si>
  <si>
    <t>1.2.1</t>
  </si>
  <si>
    <t>노션</t>
  </si>
  <si>
    <t>1.2.2</t>
  </si>
  <si>
    <t>PDF 파일</t>
  </si>
  <si>
    <t>1.2.3</t>
  </si>
  <si>
    <t>1.2.4</t>
  </si>
  <si>
    <t>엑셀 파일</t>
  </si>
  <si>
    <t>1.2.5</t>
  </si>
  <si>
    <t>1.2.6</t>
  </si>
  <si>
    <t>1.2.7</t>
  </si>
  <si>
    <t>1.2.8</t>
  </si>
  <si>
    <t>PPT</t>
  </si>
  <si>
    <t>2.1.1</t>
  </si>
  <si>
    <t>2.1.2</t>
  </si>
  <si>
    <t>Python</t>
  </si>
  <si>
    <t>전기 도면 CAD 변환·개정 비교</t>
  </si>
  <si>
    <t>김성준, 이원석, 문홍식, 김태훈</t>
  </si>
  <si>
    <t>김성준</t>
  </si>
  <si>
    <t>문홍식</t>
  </si>
  <si>
    <t>공동 담당</t>
  </si>
  <si>
    <t>이원석</t>
  </si>
  <si>
    <t>김태훈</t>
  </si>
  <si>
    <t>2인 이상 공동 작업</t>
  </si>
  <si>
    <t>칸당 일수</t>
  </si>
  <si>
    <t>시작일·마감일 수정 시 해당 날짜 칸의 색상이 자동 반영됩니다. 주말 포함 1칸 = 1일입니다.</t>
  </si>
  <si>
    <t>기간(일)</t>
  </si>
  <si>
    <t>2026년 10월 6일 ~ 11월 6일 · 하루 단위 일정 (주말 포함)</t>
  </si>
  <si>
    <t>2026년 10월</t>
  </si>
  <si>
    <t>2026년 11월</t>
  </si>
  <si>
    <t>프로젝트 착수·요구사항</t>
  </si>
  <si>
    <t>CAD 변환·개정 비교 범위 정의</t>
  </si>
  <si>
    <t>설계·프로젝트 문서 관리</t>
  </si>
  <si>
    <t>개발 문서·이슈 관리</t>
  </si>
  <si>
    <t>회의록·의사결정 기록</t>
  </si>
  <si>
    <t>주간 진행·품질 보고</t>
  </si>
  <si>
    <t>WBS·일정 관리</t>
  </si>
  <si>
    <t>도면 입출력·인식 요구사항 정의</t>
  </si>
  <si>
    <t>모듈 구성·처리 흐름 설계</t>
  </si>
  <si>
    <t>개발·평가 계획서 작성</t>
  </si>
  <si>
    <t>프로젝트 계획 발표자료 제작</t>
  </si>
  <si>
    <t>중간 점검</t>
  </si>
  <si>
    <t>인식·변환 성능 중간 점검</t>
  </si>
  <si>
    <t>인식·변환 중간 결과 정리</t>
  </si>
  <si>
    <t>중간 시연·발표자료 제작</t>
  </si>
  <si>
    <t>김성준, 김태훈</t>
  </si>
  <si>
    <t>도면 인식·CAD 변환 개발</t>
  </si>
  <si>
    <t>OCR·기호·배선 인식</t>
  </si>
  <si>
    <t>PDF·이미지 입력·전처리</t>
  </si>
  <si>
    <t>PaddleOCR 문자·치수 인식</t>
  </si>
  <si>
    <t>YOLO 기호 검출·학습</t>
  </si>
  <si>
    <t>배선 벡터화·연결 후보 그래프</t>
  </si>
  <si>
    <t>의미 구조화·CAD 출력</t>
  </si>
  <si>
    <t>의미 JSON·축척·속성 규칙 적용</t>
  </si>
  <si>
    <t>김성준, 이원석</t>
  </si>
  <si>
    <t>DXF 레이어·블록·문자 변환</t>
  </si>
  <si>
    <t>개정 도면 비교·검토 화면</t>
  </si>
  <si>
    <t>도면 정렬·LLM 분석·검토 UI</t>
  </si>
  <si>
    <t>통합·품질 검증</t>
  </si>
  <si>
    <t>인식·변환·변경 검출 검증</t>
  </si>
  <si>
    <t>모듈 통합·회귀 테스트</t>
  </si>
  <si>
    <t>실제 도면 정확도 검증·오류 개선</t>
  </si>
  <si>
    <t>최종 결과 보고</t>
  </si>
  <si>
    <t>성과·사용 가이드 정리</t>
  </si>
  <si>
    <t>최종 보고서·사용 설명서 작성</t>
  </si>
  <si>
    <t>프로젝트 마무리</t>
  </si>
  <si>
    <t>최종 시연·산출물 전달</t>
  </si>
  <si>
    <t>최종 발표준비</t>
    <phoneticPr fontId="31" type="noConversion"/>
  </si>
  <si>
    <t>팀원 전체</t>
    <phoneticPr fontId="31" type="noConversion"/>
  </si>
  <si>
    <t>3.1.1</t>
    <phoneticPr fontId="31" type="noConversion"/>
  </si>
  <si>
    <t>4.1.2</t>
    <phoneticPr fontId="31" type="noConversion"/>
  </si>
  <si>
    <t>3.1.2</t>
    <phoneticPr fontId="31" type="noConversion"/>
  </si>
  <si>
    <t>3.1.3</t>
    <phoneticPr fontId="31" type="noConversion"/>
  </si>
  <si>
    <t>3.1.4</t>
    <phoneticPr fontId="31" type="noConversion"/>
  </si>
  <si>
    <t>3.2.1</t>
    <phoneticPr fontId="31" type="noConversion"/>
  </si>
  <si>
    <t>3.2.2</t>
    <phoneticPr fontId="31" type="noConversion"/>
  </si>
  <si>
    <t>3.3.1</t>
    <phoneticPr fontId="31" type="noConversion"/>
  </si>
  <si>
    <t>4.1.1</t>
    <phoneticPr fontId="31" type="noConversion"/>
  </si>
  <si>
    <t>5.1.1</t>
    <phoneticPr fontId="31" type="noConversion"/>
  </si>
  <si>
    <t>5.1.2</t>
    <phoneticPr fontId="3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</si>
</sst>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&quot;년 &quot;m&quot;월 &quot;d&quot;일&quot;"/>
    <numFmt numFmtId="177" formatCode="&quot;$&quot;#,##0.00"/>
    <numFmt numFmtId="178" formatCode="yyyy\-mm\-dd"/>
    <numFmt numFmtId="179" formatCode="0&quot;일&quot;"/>
    <numFmt numFmtId="180" formatCode="d"/>
  </numFmts>
  <fonts count="32">
    <font>
      <sz val="10"/>
      <color rgb="FF000000"/>
      <name val="Calibri"/>
      <scheme val="minor"/>
    </font>
    <font>
      <b/>
      <sz val="10"/>
      <color rgb="FF666666"/>
      <name val="Malgun Gothic"/>
      <family val="3"/>
    </font>
    <font>
      <sz val="10"/>
      <name val="Calibri"/>
    </font>
    <font>
      <sz val="10"/>
      <color rgb="FF999999"/>
      <name val="Malgun Gothic"/>
      <family val="3"/>
    </font>
    <font>
      <sz val="11"/>
      <color rgb="FF000000"/>
      <name val="Malgun Gothic"/>
      <family val="3"/>
    </font>
    <font>
      <sz val="10"/>
      <color rgb="FF000000"/>
      <name val="Malgun Gothic"/>
      <family val="3"/>
    </font>
    <font>
      <sz val="11"/>
      <color rgb="FF7F7F7F"/>
      <name val="Malgun Gothic"/>
      <family val="3"/>
    </font>
    <font>
      <sz val="11"/>
      <color rgb="FF000000"/>
      <name val="Poppins"/>
    </font>
    <font>
      <sz val="11"/>
      <color rgb="FF000000"/>
      <name val="Roboto"/>
    </font>
    <font>
      <b/>
      <sz val="8"/>
      <color rgb="FF000000"/>
      <name val="Malgun Gothic"/>
      <family val="3"/>
    </font>
    <font>
      <b/>
      <sz val="8"/>
      <color rgb="FF000000"/>
      <name val="Roboto"/>
    </font>
    <font>
      <b/>
      <sz val="9"/>
      <color rgb="FF000000"/>
      <name val="Malgun Gothic"/>
      <family val="3"/>
    </font>
    <font>
      <sz val="9"/>
      <color rgb="FF000000"/>
      <name val="Roboto"/>
    </font>
    <font>
      <b/>
      <sz val="11"/>
      <color rgb="FF000000"/>
      <name val="Malgun Gothic"/>
      <family val="3"/>
    </font>
    <font>
      <sz val="10"/>
      <color rgb="FF434343"/>
      <name val="Malgun Gothic"/>
      <family val="3"/>
    </font>
    <font>
      <b/>
      <sz val="10"/>
      <color rgb="FF000000"/>
      <name val="Malgun Gothic"/>
      <family val="3"/>
    </font>
    <font>
      <sz val="10"/>
      <color rgb="FF000000"/>
      <name val="Roboto"/>
    </font>
    <font>
      <sz val="10"/>
      <color theme="1"/>
      <name val="Malgun Gothic"/>
      <family val="3"/>
    </font>
    <font>
      <b/>
      <sz val="10"/>
      <color rgb="FF434343"/>
      <name val="Malgun Gothic"/>
      <family val="3"/>
    </font>
    <font>
      <b/>
      <sz val="10"/>
      <color rgb="FFFF0000"/>
      <name val="Malgun Gothic"/>
      <family val="3"/>
    </font>
    <font>
      <sz val="10"/>
      <color theme="1"/>
      <name val="Calibri"/>
      <family val="2"/>
    </font>
    <font>
      <sz val="11"/>
      <color rgb="FF434343"/>
      <name val="Malgun Gothic"/>
      <family val="3"/>
    </font>
    <font>
      <b/>
      <sz val="11"/>
      <color theme="1"/>
      <name val="Malgun Gothic"/>
      <family val="3"/>
    </font>
    <font>
      <sz val="9"/>
      <color rgb="FF666666"/>
      <name val="Calibri"/>
      <family val="3"/>
      <charset val="129"/>
      <scheme val="minor"/>
    </font>
    <font>
      <sz val="8"/>
      <color rgb="FF666666"/>
      <name val="Calibri"/>
      <family val="3"/>
      <charset val="129"/>
      <scheme val="minor"/>
    </font>
    <font>
      <b/>
      <sz val="9"/>
      <color rgb="FF434343"/>
      <name val="Malgun Gothic"/>
      <family val="3"/>
    </font>
    <font>
      <sz val="9"/>
      <color rgb="FF434343"/>
      <name val="Malgun Gothic"/>
      <family val="3"/>
    </font>
    <font>
      <sz val="9"/>
      <color rgb="FF666666"/>
      <name val="Malgun Gothic"/>
      <family val="3"/>
    </font>
    <font>
      <b/>
      <sz val="10"/>
      <color rgb="FFFFFFFF"/>
      <name val="Malgun Gothic"/>
      <family val="3"/>
    </font>
    <font>
      <b/>
      <sz val="10"/>
      <color rgb="FFFFFFFF"/>
      <name val="Malgun Gothic"/>
      <family val="3"/>
      <charset val="129"/>
    </font>
    <font>
      <b/>
      <sz val="9"/>
      <color rgb="FFFFFFFF"/>
      <name val="Malgun Gothic"/>
      <family val="3"/>
      <charset val="129"/>
    </font>
    <font>
      <sz val="8"/>
      <name val="Calibri"/>
      <family val="3"/>
      <charset val="129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FEFEF"/>
      </patternFill>
    </fill>
    <fill>
      <patternFill patternType="solid">
        <fgColor rgb="FFBDD7EE"/>
      </patternFill>
    </fill>
    <fill>
      <patternFill patternType="solid">
        <fgColor rgb="FFD0E0E3"/>
      </patternFill>
    </fill>
    <fill>
      <patternFill patternType="solid">
        <fgColor rgb="FFCCCCCC"/>
      </patternFill>
    </fill>
    <fill>
      <patternFill patternType="solid">
        <fgColor rgb="FF73C79E"/>
      </patternFill>
    </fill>
    <fill>
      <patternFill patternType="solid">
        <fgColor rgb="FF548DD4"/>
      </patternFill>
    </fill>
    <fill>
      <patternFill patternType="solid">
        <fgColor rgb="FFD99594"/>
      </patternFill>
    </fill>
    <fill>
      <patternFill patternType="solid">
        <fgColor rgb="FF632423"/>
      </patternFill>
    </fill>
    <fill>
      <patternFill patternType="solid">
        <fgColor rgb="FFB2A1C7"/>
      </patternFill>
    </fill>
    <fill>
      <patternFill patternType="solid">
        <fgColor rgb="FF3F3151"/>
      </patternFill>
    </fill>
    <fill>
      <patternFill patternType="solid">
        <fgColor rgb="FFB6D7A8"/>
      </patternFill>
    </fill>
    <fill>
      <patternFill patternType="solid">
        <fgColor rgb="FF0B5394"/>
      </patternFill>
    </fill>
    <fill>
      <patternFill patternType="solid">
        <fgColor rgb="FFFFFFFF"/>
      </patternFill>
    </fill>
    <fill>
      <patternFill patternType="solid">
        <fgColor rgb="FFF4F7FA"/>
      </patternFill>
    </fill>
    <fill>
      <patternFill patternType="solid">
        <fgColor rgb="FF2F75B5"/>
      </patternFill>
    </fill>
    <fill>
      <patternFill patternType="solid">
        <fgColor rgb="FF45818E"/>
      </patternFill>
    </fill>
    <fill>
      <patternFill patternType="solid">
        <fgColor rgb="FFFFFFFF"/>
      </patternFill>
    </fill>
  </fills>
  <borders count="28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8D8D8"/>
      </bottom>
      <diagonal/>
    </border>
    <border>
      <left/>
      <right/>
      <top/>
      <bottom style="thin">
        <color rgb="FFCCCCCC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8D8D8"/>
      </top>
      <bottom style="thin">
        <color rgb="FFD8D8D8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/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thin">
        <color rgb="FFB7B7B7"/>
      </left>
      <right style="hair">
        <color rgb="FFB7B7B7"/>
      </right>
      <top style="hair">
        <color rgb="FFB7B7B7"/>
      </top>
      <bottom/>
      <diagonal/>
    </border>
    <border>
      <left style="hair">
        <color rgb="FFB7B7B7"/>
      </left>
      <right style="hair">
        <color rgb="FFB7B7B7"/>
      </right>
      <top style="hair">
        <color rgb="FFB7B7B7"/>
      </top>
      <bottom/>
      <diagonal/>
    </border>
    <border>
      <left/>
      <right/>
      <top/>
      <bottom style="hair">
        <color rgb="FFB7B7B7"/>
      </bottom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107">
    <xf numFmtId="0" fontId="0" fillId="0" borderId="0" xfId="0" applyFont="1" applyAlignment="1"/>
    <xf numFmtId="0" fontId="5" fillId="0" borderId="0" xfId="0" applyFont="1"/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176" fontId="3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/>
    </xf>
    <xf numFmtId="0" fontId="3" fillId="0" borderId="0" xfId="0" applyFont="1"/>
    <xf numFmtId="0" fontId="4" fillId="2" borderId="7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6" borderId="17" xfId="0" applyFont="1" applyFill="1" applyBorder="1" applyAlignment="1">
      <alignment horizontal="left" vertical="center" wrapText="1"/>
    </xf>
    <xf numFmtId="0" fontId="13" fillId="6" borderId="17" xfId="0" applyFont="1" applyFill="1" applyBorder="1" applyAlignment="1">
      <alignment vertical="center"/>
    </xf>
    <xf numFmtId="0" fontId="13" fillId="6" borderId="17" xfId="0" applyFont="1" applyFill="1" applyBorder="1" applyAlignment="1">
      <alignment vertical="center" wrapText="1"/>
    </xf>
    <xf numFmtId="0" fontId="13" fillId="6" borderId="7" xfId="0" applyFont="1" applyFill="1" applyBorder="1" applyAlignment="1">
      <alignment horizontal="center" vertical="center"/>
    </xf>
    <xf numFmtId="177" fontId="13" fillId="6" borderId="7" xfId="0" applyNumberFormat="1" applyFont="1" applyFill="1" applyBorder="1" applyAlignment="1">
      <alignment horizontal="center" vertical="center"/>
    </xf>
    <xf numFmtId="3" fontId="13" fillId="6" borderId="7" xfId="0" applyNumberFormat="1" applyFont="1" applyFill="1" applyBorder="1" applyAlignment="1">
      <alignment horizontal="center" vertical="center"/>
    </xf>
    <xf numFmtId="0" fontId="14" fillId="0" borderId="18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9" fontId="14" fillId="0" borderId="18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9" fontId="14" fillId="0" borderId="18" xfId="0" applyNumberFormat="1" applyFont="1" applyBorder="1" applyAlignment="1">
      <alignment horizontal="center" vertical="center" wrapText="1"/>
    </xf>
    <xf numFmtId="0" fontId="14" fillId="0" borderId="18" xfId="0" applyFont="1" applyBorder="1" applyAlignment="1">
      <alignment horizontal="right" vertical="center" wrapText="1"/>
    </xf>
    <xf numFmtId="0" fontId="14" fillId="0" borderId="18" xfId="0" applyFont="1" applyBorder="1" applyAlignment="1">
      <alignment horizontal="right" vertical="center" wrapText="1"/>
    </xf>
    <xf numFmtId="0" fontId="14" fillId="0" borderId="18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14" fillId="0" borderId="0" xfId="0" applyFont="1" applyAlignment="1">
      <alignment horizontal="right" vertical="center" wrapText="1"/>
    </xf>
    <xf numFmtId="0" fontId="9" fillId="0" borderId="18" xfId="0" applyFont="1" applyBorder="1" applyAlignment="1">
      <alignment horizontal="center" vertical="center" wrapText="1"/>
    </xf>
    <xf numFmtId="0" fontId="13" fillId="6" borderId="17" xfId="0" applyFont="1" applyFill="1" applyBorder="1" applyAlignment="1">
      <alignment horizontal="left" vertical="center" wrapText="1"/>
    </xf>
    <xf numFmtId="9" fontId="14" fillId="7" borderId="27" xfId="0" applyNumberFormat="1" applyFont="1" applyFill="1" applyBorder="1" applyAlignment="1">
      <alignment horizontal="center" vertical="center" wrapText="1"/>
    </xf>
    <xf numFmtId="9" fontId="14" fillId="0" borderId="27" xfId="0" applyNumberFormat="1" applyFont="1" applyBorder="1" applyAlignment="1">
      <alignment horizontal="center" vertical="center" wrapText="1"/>
    </xf>
    <xf numFmtId="0" fontId="0" fillId="8" borderId="0" xfId="0" applyNumberFormat="1" applyFont="1" applyFill="1" applyBorder="1"/>
    <xf numFmtId="0" fontId="0" fillId="9" borderId="0" xfId="0" applyNumberFormat="1" applyFont="1" applyFill="1" applyBorder="1"/>
    <xf numFmtId="0" fontId="0" fillId="10" borderId="0" xfId="0" applyNumberFormat="1" applyFont="1" applyFill="1" applyBorder="1"/>
    <xf numFmtId="0" fontId="0" fillId="11" borderId="0" xfId="0" applyNumberFormat="1" applyFont="1" applyFill="1" applyBorder="1"/>
    <xf numFmtId="0" fontId="0" fillId="12" borderId="0" xfId="0" applyNumberFormat="1" applyFont="1" applyFill="1" applyBorder="1"/>
    <xf numFmtId="0" fontId="0" fillId="13" borderId="0" xfId="0" applyNumberFormat="1" applyFont="1" applyFill="1" applyBorder="1"/>
    <xf numFmtId="178" fontId="14" fillId="0" borderId="10" xfId="0" applyNumberFormat="1" applyFont="1" applyFill="1" applyBorder="1" applyAlignment="1">
      <alignment horizontal="left" vertical="center" wrapText="1"/>
    </xf>
    <xf numFmtId="178" fontId="17" fillId="0" borderId="10" xfId="0" applyNumberFormat="1" applyFont="1" applyFill="1" applyBorder="1" applyAlignment="1">
      <alignment horizontal="left" vertical="center" wrapText="1"/>
    </xf>
    <xf numFmtId="178" fontId="5" fillId="0" borderId="10" xfId="0" applyNumberFormat="1" applyFont="1" applyFill="1" applyBorder="1" applyAlignment="1">
      <alignment horizontal="left" vertical="center" wrapText="1"/>
    </xf>
    <xf numFmtId="178" fontId="13" fillId="6" borderId="4" xfId="0" applyNumberFormat="1" applyFont="1" applyFill="1" applyBorder="1" applyAlignment="1">
      <alignment vertical="center" wrapText="1"/>
    </xf>
    <xf numFmtId="0" fontId="25" fillId="0" borderId="0" xfId="0" applyNumberFormat="1" applyFont="1" applyFill="1" applyBorder="1" applyAlignment="1">
      <alignment horizontal="center" vertical="center"/>
    </xf>
    <xf numFmtId="179" fontId="26" fillId="0" borderId="0" xfId="0" applyNumberFormat="1" applyFont="1" applyFill="1" applyBorder="1" applyAlignment="1">
      <alignment horizontal="center"/>
    </xf>
    <xf numFmtId="180" fontId="11" fillId="4" borderId="16" xfId="0" applyNumberFormat="1" applyFont="1" applyFill="1" applyBorder="1" applyAlignment="1">
      <alignment horizontal="center" vertical="center"/>
    </xf>
    <xf numFmtId="180" fontId="11" fillId="5" borderId="16" xfId="0" applyNumberFormat="1" applyFont="1" applyFill="1" applyBorder="1" applyAlignment="1">
      <alignment horizontal="center" vertical="center"/>
    </xf>
    <xf numFmtId="9" fontId="15" fillId="15" borderId="19" xfId="0" applyNumberFormat="1" applyFont="1" applyFill="1" applyBorder="1" applyAlignment="1">
      <alignment horizontal="center" vertical="center"/>
    </xf>
    <xf numFmtId="177" fontId="15" fillId="15" borderId="20" xfId="0" applyNumberFormat="1" applyFont="1" applyFill="1" applyBorder="1" applyAlignment="1">
      <alignment horizontal="center" vertical="center"/>
    </xf>
    <xf numFmtId="0" fontId="15" fillId="15" borderId="20" xfId="0" applyNumberFormat="1" applyFont="1" applyFill="1" applyBorder="1" applyAlignment="1">
      <alignment horizontal="center" vertical="center"/>
    </xf>
    <xf numFmtId="0" fontId="15" fillId="16" borderId="21" xfId="0" applyNumberFormat="1" applyFont="1" applyFill="1" applyBorder="1" applyAlignment="1">
      <alignment horizontal="center" vertical="center"/>
    </xf>
    <xf numFmtId="0" fontId="15" fillId="16" borderId="20" xfId="0" applyNumberFormat="1" applyFont="1" applyFill="1" applyBorder="1" applyAlignment="1">
      <alignment horizontal="center" vertical="center"/>
    </xf>
    <xf numFmtId="0" fontId="15" fillId="15" borderId="21" xfId="0" applyNumberFormat="1" applyFont="1" applyFill="1" applyBorder="1" applyAlignment="1">
      <alignment horizontal="center" vertical="center"/>
    </xf>
    <xf numFmtId="9" fontId="15" fillId="15" borderId="22" xfId="0" applyNumberFormat="1" applyFont="1" applyFill="1" applyBorder="1" applyAlignment="1">
      <alignment horizontal="center" vertical="center"/>
    </xf>
    <xf numFmtId="177" fontId="15" fillId="15" borderId="21" xfId="0" applyNumberFormat="1" applyFont="1" applyFill="1" applyBorder="1" applyAlignment="1">
      <alignment horizontal="center" vertical="center"/>
    </xf>
    <xf numFmtId="0" fontId="5" fillId="15" borderId="3" xfId="0" applyNumberFormat="1" applyFont="1" applyFill="1" applyBorder="1"/>
    <xf numFmtId="0" fontId="5" fillId="16" borderId="3" xfId="0" applyNumberFormat="1" applyFont="1" applyFill="1" applyBorder="1"/>
    <xf numFmtId="0" fontId="4" fillId="15" borderId="6" xfId="0" applyNumberFormat="1" applyFont="1" applyFill="1" applyBorder="1" applyAlignment="1">
      <alignment vertical="center"/>
    </xf>
    <xf numFmtId="9" fontId="18" fillId="15" borderId="22" xfId="0" applyNumberFormat="1" applyFont="1" applyFill="1" applyBorder="1" applyAlignment="1">
      <alignment horizontal="center" vertical="center"/>
    </xf>
    <xf numFmtId="177" fontId="15" fillId="15" borderId="23" xfId="0" applyNumberFormat="1" applyFont="1" applyFill="1" applyBorder="1" applyAlignment="1">
      <alignment horizontal="center" vertical="center"/>
    </xf>
    <xf numFmtId="0" fontId="5" fillId="15" borderId="6" xfId="0" applyNumberFormat="1" applyFont="1" applyFill="1" applyBorder="1"/>
    <xf numFmtId="0" fontId="6" fillId="16" borderId="3" xfId="0" applyNumberFormat="1" applyFont="1" applyFill="1" applyBorder="1" applyAlignment="1">
      <alignment vertical="center"/>
    </xf>
    <xf numFmtId="0" fontId="5" fillId="16" borderId="6" xfId="0" applyNumberFormat="1" applyFont="1" applyFill="1" applyBorder="1"/>
    <xf numFmtId="0" fontId="6" fillId="15" borderId="3" xfId="0" applyNumberFormat="1" applyFont="1" applyFill="1" applyBorder="1" applyAlignment="1">
      <alignment vertical="center"/>
    </xf>
    <xf numFmtId="9" fontId="15" fillId="15" borderId="24" xfId="0" applyNumberFormat="1" applyFont="1" applyFill="1" applyBorder="1" applyAlignment="1">
      <alignment horizontal="center" vertical="center"/>
    </xf>
    <xf numFmtId="0" fontId="19" fillId="15" borderId="21" xfId="0" applyNumberFormat="1" applyFont="1" applyFill="1" applyBorder="1" applyAlignment="1">
      <alignment horizontal="center" vertical="center"/>
    </xf>
    <xf numFmtId="0" fontId="4" fillId="16" borderId="6" xfId="0" applyNumberFormat="1" applyFont="1" applyFill="1" applyBorder="1" applyAlignment="1">
      <alignment vertical="center"/>
    </xf>
    <xf numFmtId="0" fontId="15" fillId="16" borderId="25" xfId="0" applyNumberFormat="1" applyFont="1" applyFill="1" applyBorder="1" applyAlignment="1">
      <alignment horizontal="center" vertical="center"/>
    </xf>
    <xf numFmtId="0" fontId="5" fillId="15" borderId="21" xfId="0" applyNumberFormat="1" applyFont="1" applyFill="1" applyBorder="1"/>
    <xf numFmtId="0" fontId="5" fillId="15" borderId="23" xfId="0" applyNumberFormat="1" applyFont="1" applyFill="1" applyBorder="1"/>
    <xf numFmtId="9" fontId="20" fillId="15" borderId="19" xfId="0" applyNumberFormat="1" applyFont="1" applyFill="1" applyBorder="1"/>
    <xf numFmtId="177" fontId="20" fillId="15" borderId="26" xfId="0" applyNumberFormat="1" applyFont="1" applyFill="1" applyBorder="1"/>
    <xf numFmtId="0" fontId="17" fillId="15" borderId="0" xfId="0" applyNumberFormat="1" applyFont="1" applyFill="1" applyBorder="1"/>
    <xf numFmtId="0" fontId="14" fillId="0" borderId="10" xfId="0" applyNumberFormat="1" applyFont="1" applyFill="1" applyBorder="1" applyAlignment="1">
      <alignment horizontal="left" vertical="center"/>
    </xf>
    <xf numFmtId="0" fontId="14" fillId="0" borderId="0" xfId="0" applyNumberFormat="1" applyFont="1" applyFill="1" applyBorder="1" applyAlignment="1">
      <alignment horizontal="left" vertical="center"/>
    </xf>
    <xf numFmtId="0" fontId="13" fillId="6" borderId="4" xfId="0" applyNumberFormat="1" applyFont="1" applyFill="1" applyBorder="1" applyAlignment="1">
      <alignment horizontal="left" vertical="center"/>
    </xf>
    <xf numFmtId="0" fontId="21" fillId="0" borderId="10" xfId="0" applyNumberFormat="1" applyFont="1" applyFill="1" applyBorder="1" applyAlignment="1">
      <alignment horizontal="left" vertical="center"/>
    </xf>
    <xf numFmtId="0" fontId="22" fillId="6" borderId="4" xfId="0" applyNumberFormat="1" applyFont="1" applyFill="1" applyBorder="1" applyAlignment="1">
      <alignment horizontal="left" vertical="center"/>
    </xf>
    <xf numFmtId="0" fontId="30" fillId="19" borderId="13" xfId="0" applyNumberFormat="1" applyFont="1" applyFill="1" applyBorder="1"/>
    <xf numFmtId="0" fontId="30" fillId="19" borderId="14" xfId="0" applyNumberFormat="1" applyFont="1" applyFill="1" applyBorder="1"/>
    <xf numFmtId="180" fontId="11" fillId="19" borderId="16" xfId="0" applyNumberFormat="1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 wrapText="1"/>
    </xf>
    <xf numFmtId="0" fontId="2" fillId="0" borderId="11" xfId="0" applyFont="1" applyBorder="1"/>
    <xf numFmtId="0" fontId="2" fillId="0" borderId="15" xfId="0" applyFont="1" applyBorder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0" fontId="1" fillId="0" borderId="5" xfId="0" applyFont="1" applyBorder="1" applyAlignment="1">
      <alignment horizontal="center" vertical="center"/>
    </xf>
    <xf numFmtId="0" fontId="2" fillId="0" borderId="5" xfId="0" applyFont="1" applyBorder="1"/>
    <xf numFmtId="0" fontId="3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5" fillId="0" borderId="0" xfId="0" applyFont="1"/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23" fillId="0" borderId="0" xfId="0" applyNumberFormat="1" applyFont="1" applyFill="1" applyBorder="1" applyAlignment="1">
      <alignment horizontal="left"/>
    </xf>
    <xf numFmtId="0" fontId="23" fillId="0" borderId="0" xfId="0" applyNumberFormat="1" applyFont="1" applyFill="1" applyBorder="1"/>
    <xf numFmtId="0" fontId="0" fillId="0" borderId="0" xfId="0" applyFont="1" applyAlignment="1"/>
    <xf numFmtId="0" fontId="24" fillId="0" borderId="0" xfId="0" applyNumberFormat="1" applyFont="1" applyFill="1" applyBorder="1"/>
    <xf numFmtId="0" fontId="27" fillId="2" borderId="0" xfId="0" applyNumberFormat="1" applyFont="1" applyFill="1" applyBorder="1" applyAlignment="1">
      <alignment horizontal="left" vertical="center"/>
    </xf>
    <xf numFmtId="0" fontId="28" fillId="14" borderId="9" xfId="0" applyNumberFormat="1" applyFont="1" applyFill="1" applyBorder="1" applyAlignment="1">
      <alignment horizontal="center" vertical="center"/>
    </xf>
    <xf numFmtId="0" fontId="29" fillId="14" borderId="10" xfId="0" applyNumberFormat="1" applyFont="1" applyFill="1" applyBorder="1"/>
    <xf numFmtId="0" fontId="28" fillId="17" borderId="12" xfId="0" applyNumberFormat="1" applyFont="1" applyFill="1" applyBorder="1" applyAlignment="1">
      <alignment horizontal="center" vertical="center"/>
    </xf>
    <xf numFmtId="0" fontId="29" fillId="17" borderId="13" xfId="0" applyNumberFormat="1" applyFont="1" applyFill="1" applyBorder="1" applyAlignment="1">
      <alignment horizontal="center"/>
    </xf>
    <xf numFmtId="0" fontId="29" fillId="17" borderId="14" xfId="0" applyNumberFormat="1" applyFont="1" applyFill="1" applyBorder="1" applyAlignment="1">
      <alignment horizontal="center"/>
    </xf>
    <xf numFmtId="0" fontId="29" fillId="18" borderId="13" xfId="0" applyNumberFormat="1" applyFont="1" applyFill="1" applyBorder="1" applyAlignment="1">
      <alignment horizontal="center"/>
    </xf>
    <xf numFmtId="0" fontId="29" fillId="18" borderId="14" xfId="0" applyNumberFormat="1" applyFont="1" applyFill="1" applyBorder="1" applyAlignment="1">
      <alignment horizontal="center"/>
    </xf>
    <xf numFmtId="0" fontId="28" fillId="18" borderId="12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8">
    <dxf>
      <fill>
        <patternFill patternType="solid">
          <bgColor rgb="FF548DD4"/>
        </patternFill>
      </fill>
    </dxf>
    <dxf>
      <fill>
        <patternFill patternType="solid">
          <bgColor rgb="FFB6D7A8"/>
        </patternFill>
      </fill>
    </dxf>
    <dxf>
      <fill>
        <patternFill patternType="solid">
          <bgColor rgb="FF3F3151"/>
        </patternFill>
      </fill>
    </dxf>
    <dxf>
      <fill>
        <patternFill patternType="solid">
          <bgColor rgb="FFB2A1C7"/>
        </patternFill>
      </fill>
    </dxf>
    <dxf>
      <fill>
        <patternFill patternType="solid">
          <bgColor rgb="FF632423"/>
        </patternFill>
      </fill>
    </dxf>
    <dxf>
      <fill>
        <patternFill patternType="solid">
          <bgColor rgb="FFD99594"/>
        </patternFill>
      </fill>
    </dxf>
    <dxf>
      <fill>
        <patternFill patternType="solid">
          <bgColor rgb="FF548DD4"/>
        </patternFill>
      </fill>
    </dxf>
    <dxf>
      <font>
        <color rgb="FF9C0006"/>
      </font>
      <fill>
        <patternFill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</sheetPr>
  <dimension ref="A1:AV1002"/>
  <sheetViews>
    <sheetView showGridLines="0" tabSelected="1" topLeftCell="A20" workbookViewId="0">
      <selection activeCell="F36" sqref="F36"/>
    </sheetView>
  </sheetViews>
  <sheetFormatPr defaultColWidth="14.3984375" defaultRowHeight="13"/>
  <cols>
    <col min="1" max="1" width="12.69921875" customWidth="1"/>
    <col min="2" max="2" width="41" customWidth="1"/>
    <col min="3" max="3" width="25" customWidth="1"/>
    <col min="4" max="4" width="26" customWidth="1"/>
    <col min="5" max="6" width="14.296875" customWidth="1"/>
    <col min="7" max="7" width="9.796875" customWidth="1"/>
    <col min="8" max="8" width="12.69921875" customWidth="1"/>
    <col min="9" max="43" width="3.3984375" customWidth="1"/>
    <col min="44" max="48" width="3.796875" customWidth="1"/>
  </cols>
  <sheetData>
    <row r="1" spans="1:48" ht="21" customHeight="1">
      <c r="A1" s="85" t="s">
        <v>0</v>
      </c>
      <c r="B1" s="86"/>
      <c r="C1" s="89" t="s">
        <v>27</v>
      </c>
      <c r="D1" s="90"/>
      <c r="E1" s="91"/>
      <c r="F1" s="85" t="s">
        <v>1</v>
      </c>
      <c r="G1" s="86"/>
      <c r="H1" s="86"/>
      <c r="I1" s="94" t="s">
        <v>28</v>
      </c>
      <c r="J1" s="94"/>
      <c r="K1" s="94"/>
      <c r="L1" s="94"/>
      <c r="M1" s="94"/>
      <c r="N1" s="94"/>
      <c r="O1" s="94"/>
      <c r="P1" s="94"/>
      <c r="Q1" s="94"/>
      <c r="R1" s="94"/>
      <c r="S1" s="94"/>
      <c r="U1" s="95" t="s">
        <v>11</v>
      </c>
      <c r="V1" s="96"/>
      <c r="W1" s="96"/>
      <c r="X1" s="34"/>
      <c r="Z1" s="95" t="s">
        <v>29</v>
      </c>
      <c r="AA1" s="96"/>
      <c r="AB1" s="96"/>
      <c r="AC1" s="35"/>
      <c r="AE1" s="95" t="s">
        <v>30</v>
      </c>
      <c r="AF1" s="96"/>
      <c r="AG1" s="96"/>
      <c r="AH1" s="37"/>
      <c r="AJ1" s="95" t="s">
        <v>31</v>
      </c>
      <c r="AK1" s="96"/>
      <c r="AL1" s="96"/>
      <c r="AM1" s="96"/>
      <c r="AN1" s="39"/>
    </row>
    <row r="2" spans="1:48" ht="21" customHeight="1">
      <c r="A2" s="85" t="s">
        <v>2</v>
      </c>
      <c r="B2" s="86"/>
      <c r="C2" s="92" t="s">
        <v>29</v>
      </c>
      <c r="D2" s="93"/>
      <c r="E2" s="91"/>
      <c r="F2" s="87" t="s">
        <v>3</v>
      </c>
      <c r="G2" s="88"/>
      <c r="H2" s="88"/>
      <c r="I2" s="94" t="str">
        <f>IF(OR(COUNT(E9:E43)=0,COUNT(F9:F43)=0),"",TEXT(MIN(E9:E43),"yyyy-mm-dd")&amp;" ~ "&amp;TEXT(MAX(F9:F43),"yyyy-mm-dd"))</f>
        <v>2026-10-06 ~ 2026-11-06</v>
      </c>
      <c r="J2" s="94"/>
      <c r="K2" s="94"/>
      <c r="L2" s="94"/>
      <c r="M2" s="94"/>
      <c r="N2" s="94"/>
      <c r="O2" s="94"/>
      <c r="P2" s="94"/>
      <c r="Q2" s="94"/>
      <c r="R2" s="94"/>
      <c r="S2" s="94"/>
      <c r="Z2" s="95" t="s">
        <v>32</v>
      </c>
      <c r="AA2" s="96"/>
      <c r="AB2" s="96"/>
      <c r="AC2" s="36"/>
      <c r="AE2" s="95" t="s">
        <v>33</v>
      </c>
      <c r="AF2" s="96"/>
      <c r="AG2" s="96"/>
      <c r="AH2" s="38"/>
      <c r="AJ2" s="97" t="s">
        <v>34</v>
      </c>
      <c r="AK2" s="97"/>
      <c r="AL2" s="97"/>
      <c r="AM2" s="97"/>
      <c r="AN2" s="97"/>
      <c r="AO2" s="97"/>
      <c r="AP2" s="97"/>
      <c r="AQ2" s="97"/>
    </row>
    <row r="3" spans="1:48" ht="15.75" customHeight="1">
      <c r="A3" s="4"/>
      <c r="B3" s="5"/>
      <c r="C3" s="6"/>
      <c r="D3" s="2"/>
      <c r="E3" s="1"/>
      <c r="F3" s="4"/>
      <c r="G3" s="44" t="s">
        <v>35</v>
      </c>
      <c r="H3" s="45">
        <v>1</v>
      </c>
      <c r="I3" s="2"/>
      <c r="J3" s="2"/>
      <c r="K3" s="7"/>
      <c r="L3" s="8"/>
      <c r="M3" s="8"/>
      <c r="N3" s="8"/>
      <c r="O3" s="8"/>
      <c r="P3" s="7"/>
      <c r="Q3" s="8"/>
      <c r="R3" s="8"/>
      <c r="S3" s="8"/>
      <c r="T3" s="1"/>
      <c r="U3" s="1"/>
      <c r="V3" s="1"/>
      <c r="W3" s="1"/>
      <c r="X3" s="1"/>
      <c r="Y3" s="1"/>
      <c r="Z3" s="1"/>
      <c r="AA3" s="1"/>
      <c r="AB3" s="9"/>
      <c r="AC3" s="1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3"/>
      <c r="AS3" s="3"/>
      <c r="AT3" s="3"/>
      <c r="AU3" s="3"/>
      <c r="AV3" s="3"/>
    </row>
    <row r="4" spans="1:48" ht="21" customHeight="1">
      <c r="A4" s="98" t="s">
        <v>36</v>
      </c>
      <c r="B4" s="98"/>
      <c r="C4" s="98"/>
      <c r="D4" s="98"/>
      <c r="E4" s="98"/>
      <c r="F4" s="98"/>
      <c r="G4" s="98"/>
      <c r="H4" s="98"/>
      <c r="I4" s="10"/>
      <c r="J4" s="10"/>
      <c r="K4" s="10"/>
      <c r="L4" s="10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11"/>
      <c r="AS4" s="11"/>
      <c r="AT4" s="11"/>
      <c r="AU4" s="11"/>
      <c r="AV4" s="11"/>
    </row>
    <row r="5" spans="1:48" ht="17.25" customHeight="1">
      <c r="A5" s="82" t="s">
        <v>4</v>
      </c>
      <c r="B5" s="82" t="s">
        <v>5</v>
      </c>
      <c r="C5" s="82" t="s">
        <v>6</v>
      </c>
      <c r="D5" s="82" t="s">
        <v>7</v>
      </c>
      <c r="E5" s="82" t="s">
        <v>8</v>
      </c>
      <c r="F5" s="82" t="s">
        <v>9</v>
      </c>
      <c r="G5" s="82" t="s">
        <v>37</v>
      </c>
      <c r="H5" s="82" t="s">
        <v>10</v>
      </c>
      <c r="I5" s="99" t="s">
        <v>38</v>
      </c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0"/>
      <c r="AH5" s="99"/>
      <c r="AI5" s="100"/>
      <c r="AJ5" s="100"/>
      <c r="AK5" s="100"/>
      <c r="AL5" s="100"/>
      <c r="AM5" s="100"/>
      <c r="AN5" s="100"/>
      <c r="AO5" s="100"/>
      <c r="AP5" s="100"/>
      <c r="AQ5" s="100"/>
      <c r="AR5" s="11"/>
      <c r="AS5" s="11"/>
      <c r="AT5" s="11"/>
      <c r="AU5" s="11"/>
      <c r="AV5" s="11"/>
    </row>
    <row r="6" spans="1:48" ht="17.25" customHeight="1">
      <c r="A6" s="83"/>
      <c r="B6" s="83"/>
      <c r="C6" s="83"/>
      <c r="D6" s="82"/>
      <c r="E6" s="83"/>
      <c r="F6" s="83"/>
      <c r="G6" s="83"/>
      <c r="H6" s="83"/>
      <c r="I6" s="101" t="s">
        <v>39</v>
      </c>
      <c r="J6" s="102"/>
      <c r="K6" s="102"/>
      <c r="L6" s="102"/>
      <c r="M6" s="103"/>
      <c r="N6" s="101"/>
      <c r="O6" s="102"/>
      <c r="P6" s="102"/>
      <c r="Q6" s="102"/>
      <c r="R6" s="103"/>
      <c r="S6" s="101"/>
      <c r="T6" s="102"/>
      <c r="U6" s="102"/>
      <c r="V6" s="102"/>
      <c r="W6" s="103"/>
      <c r="X6" s="101"/>
      <c r="Y6" s="102"/>
      <c r="Z6" s="102"/>
      <c r="AA6" s="102"/>
      <c r="AB6" s="103"/>
      <c r="AC6" s="101"/>
      <c r="AD6" s="102"/>
      <c r="AE6" s="102"/>
      <c r="AF6" s="102"/>
      <c r="AG6" s="103"/>
      <c r="AH6" s="101"/>
      <c r="AI6" s="104" t="s">
        <v>40</v>
      </c>
      <c r="AJ6" s="104"/>
      <c r="AK6" s="104"/>
      <c r="AL6" s="105"/>
      <c r="AM6" s="106"/>
      <c r="AN6" s="104"/>
      <c r="AO6" s="79"/>
      <c r="AP6" s="79"/>
      <c r="AQ6" s="80"/>
      <c r="AR6" s="12"/>
      <c r="AS6" s="12"/>
      <c r="AT6" s="12"/>
      <c r="AU6" s="12"/>
      <c r="AV6" s="12"/>
    </row>
    <row r="7" spans="1:48" ht="17.25" customHeight="1">
      <c r="A7" s="84"/>
      <c r="B7" s="84"/>
      <c r="C7" s="84"/>
      <c r="D7" s="82"/>
      <c r="E7" s="84"/>
      <c r="F7" s="84"/>
      <c r="G7" s="84"/>
      <c r="H7" s="84"/>
      <c r="I7" s="46">
        <f>DATE(2026,10,6)</f>
        <v>46301</v>
      </c>
      <c r="J7" s="46">
        <f t="shared" ref="J7:AN7" si="0">I7+1</f>
        <v>46302</v>
      </c>
      <c r="K7" s="46">
        <f t="shared" si="0"/>
        <v>46303</v>
      </c>
      <c r="L7" s="46">
        <f t="shared" si="0"/>
        <v>46304</v>
      </c>
      <c r="M7" s="46">
        <f t="shared" si="0"/>
        <v>46305</v>
      </c>
      <c r="N7" s="46">
        <f t="shared" si="0"/>
        <v>46306</v>
      </c>
      <c r="O7" s="46">
        <f t="shared" si="0"/>
        <v>46307</v>
      </c>
      <c r="P7" s="46">
        <f t="shared" si="0"/>
        <v>46308</v>
      </c>
      <c r="Q7" s="46">
        <f t="shared" si="0"/>
        <v>46309</v>
      </c>
      <c r="R7" s="46">
        <f t="shared" si="0"/>
        <v>46310</v>
      </c>
      <c r="S7" s="46">
        <f t="shared" si="0"/>
        <v>46311</v>
      </c>
      <c r="T7" s="46">
        <f t="shared" si="0"/>
        <v>46312</v>
      </c>
      <c r="U7" s="46">
        <f t="shared" si="0"/>
        <v>46313</v>
      </c>
      <c r="V7" s="46">
        <f t="shared" si="0"/>
        <v>46314</v>
      </c>
      <c r="W7" s="46">
        <f t="shared" si="0"/>
        <v>46315</v>
      </c>
      <c r="X7" s="46">
        <f t="shared" si="0"/>
        <v>46316</v>
      </c>
      <c r="Y7" s="46">
        <f t="shared" si="0"/>
        <v>46317</v>
      </c>
      <c r="Z7" s="46">
        <f t="shared" si="0"/>
        <v>46318</v>
      </c>
      <c r="AA7" s="46">
        <f t="shared" si="0"/>
        <v>46319</v>
      </c>
      <c r="AB7" s="46">
        <f t="shared" si="0"/>
        <v>46320</v>
      </c>
      <c r="AC7" s="46">
        <f t="shared" si="0"/>
        <v>46321</v>
      </c>
      <c r="AD7" s="46">
        <f t="shared" si="0"/>
        <v>46322</v>
      </c>
      <c r="AE7" s="46">
        <f t="shared" si="0"/>
        <v>46323</v>
      </c>
      <c r="AF7" s="46">
        <f t="shared" si="0"/>
        <v>46324</v>
      </c>
      <c r="AG7" s="46">
        <f t="shared" si="0"/>
        <v>46325</v>
      </c>
      <c r="AH7" s="47">
        <f t="shared" si="0"/>
        <v>46326</v>
      </c>
      <c r="AI7" s="47">
        <f t="shared" si="0"/>
        <v>46327</v>
      </c>
      <c r="AJ7" s="47">
        <f t="shared" si="0"/>
        <v>46328</v>
      </c>
      <c r="AK7" s="47">
        <f t="shared" si="0"/>
        <v>46329</v>
      </c>
      <c r="AL7" s="47">
        <f t="shared" si="0"/>
        <v>46330</v>
      </c>
      <c r="AM7" s="47">
        <f t="shared" si="0"/>
        <v>46331</v>
      </c>
      <c r="AN7" s="47">
        <f t="shared" si="0"/>
        <v>46332</v>
      </c>
      <c r="AO7" s="81"/>
      <c r="AP7" s="81"/>
      <c r="AQ7" s="81"/>
      <c r="AR7" s="13"/>
      <c r="AS7" s="13"/>
      <c r="AT7" s="13"/>
      <c r="AU7" s="13"/>
      <c r="AV7" s="13"/>
    </row>
    <row r="8" spans="1:48" ht="21" customHeight="1">
      <c r="A8" s="14">
        <v>1</v>
      </c>
      <c r="B8" s="15" t="s">
        <v>41</v>
      </c>
      <c r="C8" s="16"/>
      <c r="D8" s="16"/>
      <c r="E8" s="16"/>
      <c r="F8" s="16"/>
      <c r="G8" s="16"/>
      <c r="H8" s="16"/>
      <c r="I8" s="17"/>
      <c r="J8" s="18"/>
      <c r="K8" s="19"/>
      <c r="L8" s="19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1"/>
      <c r="AS8" s="11"/>
      <c r="AT8" s="11"/>
      <c r="AU8" s="11"/>
      <c r="AV8" s="11"/>
    </row>
    <row r="9" spans="1:48" ht="17.25" customHeight="1">
      <c r="A9" s="20">
        <v>1.1000000000000001</v>
      </c>
      <c r="B9" s="74" t="s">
        <v>42</v>
      </c>
      <c r="C9" s="20" t="s">
        <v>11</v>
      </c>
      <c r="D9" s="21"/>
      <c r="E9" s="40">
        <v>46301</v>
      </c>
      <c r="F9" s="40">
        <v>46301</v>
      </c>
      <c r="G9" s="20">
        <f>IF(OR(E9="",F9=""),"",IF(F9&lt;E9,"날짜 확인",F9-E9+1))</f>
        <v>1</v>
      </c>
      <c r="H9" s="22">
        <v>1</v>
      </c>
      <c r="I9" s="48"/>
      <c r="J9" s="49"/>
      <c r="K9" s="50"/>
      <c r="L9" s="50"/>
      <c r="M9" s="50"/>
      <c r="N9" s="51"/>
      <c r="O9" s="51"/>
      <c r="P9" s="51"/>
      <c r="Q9" s="51"/>
      <c r="R9" s="51"/>
      <c r="S9" s="50"/>
      <c r="T9" s="50"/>
      <c r="U9" s="50"/>
      <c r="V9" s="50"/>
      <c r="W9" s="50"/>
      <c r="X9" s="51"/>
      <c r="Y9" s="51"/>
      <c r="Z9" s="51"/>
      <c r="AA9" s="51"/>
      <c r="AB9" s="51"/>
      <c r="AC9" s="50"/>
      <c r="AD9" s="50"/>
      <c r="AE9" s="50"/>
      <c r="AF9" s="50"/>
      <c r="AG9" s="50"/>
      <c r="AH9" s="52"/>
      <c r="AI9" s="52"/>
      <c r="AJ9" s="52"/>
      <c r="AK9" s="52"/>
      <c r="AL9" s="52"/>
      <c r="AM9" s="53"/>
      <c r="AN9" s="53"/>
      <c r="AO9" s="53"/>
      <c r="AP9" s="53"/>
      <c r="AQ9" s="53"/>
      <c r="AR9" s="23"/>
      <c r="AS9" s="23"/>
      <c r="AT9" s="23"/>
      <c r="AU9" s="23"/>
      <c r="AV9" s="23"/>
    </row>
    <row r="10" spans="1:48" ht="17.25" customHeight="1">
      <c r="A10" s="20">
        <v>1.2</v>
      </c>
      <c r="B10" s="74" t="s">
        <v>43</v>
      </c>
      <c r="C10" s="20" t="s">
        <v>11</v>
      </c>
      <c r="D10" s="21"/>
      <c r="E10" s="40"/>
      <c r="F10" s="41"/>
      <c r="G10" s="20" t="str">
        <f>IF(OR(E10="",F10=""),"",IF(F10&lt;E10,"날짜 확인",F10-E10+1))</f>
        <v/>
      </c>
      <c r="H10" s="24"/>
      <c r="I10" s="54"/>
      <c r="J10" s="55"/>
      <c r="K10" s="53"/>
      <c r="L10" s="53"/>
      <c r="M10" s="53"/>
      <c r="N10" s="51"/>
      <c r="O10" s="51"/>
      <c r="P10" s="51"/>
      <c r="Q10" s="51"/>
      <c r="R10" s="51"/>
      <c r="S10" s="53"/>
      <c r="T10" s="53"/>
      <c r="U10" s="53"/>
      <c r="V10" s="53"/>
      <c r="W10" s="53"/>
      <c r="X10" s="51"/>
      <c r="Y10" s="51"/>
      <c r="Z10" s="51"/>
      <c r="AA10" s="51"/>
      <c r="AB10" s="51"/>
      <c r="AC10" s="53"/>
      <c r="AD10" s="53"/>
      <c r="AE10" s="53"/>
      <c r="AF10" s="53"/>
      <c r="AG10" s="53"/>
      <c r="AH10" s="51"/>
      <c r="AI10" s="51"/>
      <c r="AJ10" s="51"/>
      <c r="AK10" s="51"/>
      <c r="AL10" s="51"/>
      <c r="AM10" s="53"/>
      <c r="AN10" s="53"/>
      <c r="AO10" s="53"/>
      <c r="AP10" s="53"/>
      <c r="AQ10" s="53"/>
      <c r="AR10" s="23"/>
      <c r="AS10" s="23"/>
      <c r="AT10" s="23"/>
      <c r="AU10" s="23"/>
      <c r="AV10" s="23"/>
    </row>
    <row r="11" spans="1:48" ht="17.25" customHeight="1">
      <c r="A11" s="25" t="s">
        <v>12</v>
      </c>
      <c r="B11" s="74" t="s">
        <v>44</v>
      </c>
      <c r="C11" s="20" t="s">
        <v>29</v>
      </c>
      <c r="D11" s="21" t="s">
        <v>13</v>
      </c>
      <c r="E11" s="40">
        <v>46302</v>
      </c>
      <c r="F11" s="41">
        <v>46331</v>
      </c>
      <c r="G11" s="20">
        <f t="shared" ref="G11:G18" si="1">IF(OR(E11="",F11=""),"",IF(F11&lt;E11,"날짜 확인",F11-E11+1))</f>
        <v>30</v>
      </c>
      <c r="H11" s="24">
        <v>1</v>
      </c>
      <c r="I11" s="54"/>
      <c r="J11" s="55"/>
      <c r="K11" s="53"/>
      <c r="L11" s="56"/>
      <c r="M11" s="56"/>
      <c r="N11" s="51"/>
      <c r="O11" s="57"/>
      <c r="P11" s="51"/>
      <c r="Q11" s="51"/>
      <c r="R11" s="51"/>
      <c r="S11" s="53"/>
      <c r="T11" s="53"/>
      <c r="U11" s="53"/>
      <c r="V11" s="53"/>
      <c r="W11" s="53"/>
      <c r="X11" s="51"/>
      <c r="Y11" s="51"/>
      <c r="Z11" s="51"/>
      <c r="AA11" s="51"/>
      <c r="AB11" s="57"/>
      <c r="AC11" s="56"/>
      <c r="AD11" s="56"/>
      <c r="AE11" s="56"/>
      <c r="AF11" s="53"/>
      <c r="AG11" s="53"/>
      <c r="AH11" s="51"/>
      <c r="AI11" s="51"/>
      <c r="AJ11" s="51"/>
      <c r="AK11" s="51"/>
      <c r="AL11" s="51"/>
      <c r="AM11" s="58"/>
      <c r="AN11" s="58"/>
      <c r="AO11" s="53"/>
      <c r="AP11" s="53"/>
      <c r="AQ11" s="53"/>
      <c r="AR11" s="23"/>
      <c r="AS11" s="23"/>
      <c r="AT11" s="23"/>
      <c r="AU11" s="23"/>
      <c r="AV11" s="23"/>
    </row>
    <row r="12" spans="1:48" ht="15.75" customHeight="1">
      <c r="A12" s="25" t="s">
        <v>14</v>
      </c>
      <c r="B12" s="74" t="s">
        <v>45</v>
      </c>
      <c r="C12" s="20" t="s">
        <v>32</v>
      </c>
      <c r="D12" s="21" t="s">
        <v>15</v>
      </c>
      <c r="E12" s="40">
        <v>46302</v>
      </c>
      <c r="F12" s="41">
        <v>46331</v>
      </c>
      <c r="G12" s="20">
        <f t="shared" si="1"/>
        <v>30</v>
      </c>
      <c r="H12" s="24">
        <v>1</v>
      </c>
      <c r="I12" s="59"/>
      <c r="J12" s="60"/>
      <c r="K12" s="61"/>
      <c r="L12" s="61"/>
      <c r="M12" s="53"/>
      <c r="N12" s="51"/>
      <c r="O12" s="51"/>
      <c r="P12" s="62"/>
      <c r="Q12" s="51"/>
      <c r="R12" s="51"/>
      <c r="S12" s="53"/>
      <c r="T12" s="53"/>
      <c r="U12" s="61"/>
      <c r="V12" s="61"/>
      <c r="W12" s="53"/>
      <c r="X12" s="51"/>
      <c r="Y12" s="51"/>
      <c r="Z12" s="63"/>
      <c r="AA12" s="51"/>
      <c r="AB12" s="51"/>
      <c r="AC12" s="53"/>
      <c r="AD12" s="61"/>
      <c r="AE12" s="61"/>
      <c r="AF12" s="61"/>
      <c r="AG12" s="61"/>
      <c r="AH12" s="51"/>
      <c r="AI12" s="51"/>
      <c r="AJ12" s="63"/>
      <c r="AK12" s="63"/>
      <c r="AL12" s="51"/>
      <c r="AM12" s="53"/>
      <c r="AN12" s="64"/>
      <c r="AO12" s="61"/>
      <c r="AP12" s="53"/>
      <c r="AQ12" s="53"/>
      <c r="AR12" s="23"/>
      <c r="AS12" s="23"/>
      <c r="AT12" s="23"/>
      <c r="AU12" s="23"/>
      <c r="AV12" s="23"/>
    </row>
    <row r="13" spans="1:48" ht="15.75" customHeight="1">
      <c r="A13" s="25" t="s">
        <v>16</v>
      </c>
      <c r="B13" s="74" t="s">
        <v>46</v>
      </c>
      <c r="C13" s="27" t="s">
        <v>30</v>
      </c>
      <c r="D13" s="28" t="s">
        <v>15</v>
      </c>
      <c r="E13" s="40">
        <v>46302</v>
      </c>
      <c r="F13" s="42">
        <v>46327</v>
      </c>
      <c r="G13" s="20">
        <f t="shared" si="1"/>
        <v>26</v>
      </c>
      <c r="H13" s="24">
        <v>1</v>
      </c>
      <c r="I13" s="59"/>
      <c r="J13" s="60"/>
      <c r="K13" s="60"/>
      <c r="L13" s="60"/>
      <c r="M13" s="53"/>
      <c r="N13" s="51"/>
      <c r="O13" s="51"/>
      <c r="P13" s="51"/>
      <c r="Q13" s="51"/>
      <c r="R13" s="62"/>
      <c r="S13" s="53"/>
      <c r="T13" s="53"/>
      <c r="U13" s="53"/>
      <c r="V13" s="53"/>
      <c r="W13" s="64"/>
      <c r="X13" s="51"/>
      <c r="Y13" s="51"/>
      <c r="Z13" s="51"/>
      <c r="AA13" s="51"/>
      <c r="AB13" s="62"/>
      <c r="AC13" s="53"/>
      <c r="AD13" s="53"/>
      <c r="AE13" s="53"/>
      <c r="AF13" s="53"/>
      <c r="AG13" s="64"/>
      <c r="AH13" s="51"/>
      <c r="AI13" s="51"/>
      <c r="AJ13" s="51"/>
      <c r="AK13" s="51"/>
      <c r="AL13" s="62"/>
      <c r="AM13" s="53"/>
      <c r="AN13" s="53"/>
      <c r="AO13" s="53"/>
      <c r="AP13" s="53"/>
      <c r="AQ13" s="53"/>
      <c r="AR13" s="23"/>
      <c r="AS13" s="23"/>
      <c r="AT13" s="23"/>
      <c r="AU13" s="23"/>
      <c r="AV13" s="23"/>
    </row>
    <row r="14" spans="1:48" ht="17.25" customHeight="1">
      <c r="A14" s="25" t="s">
        <v>17</v>
      </c>
      <c r="B14" s="74" t="s">
        <v>47</v>
      </c>
      <c r="C14" s="20" t="s">
        <v>29</v>
      </c>
      <c r="D14" s="21" t="s">
        <v>18</v>
      </c>
      <c r="E14" s="40">
        <v>46301</v>
      </c>
      <c r="F14" s="40">
        <v>46302</v>
      </c>
      <c r="G14" s="20">
        <f t="shared" si="1"/>
        <v>2</v>
      </c>
      <c r="H14" s="24">
        <v>1</v>
      </c>
      <c r="I14" s="59"/>
      <c r="J14" s="60"/>
      <c r="K14" s="56"/>
      <c r="L14" s="56"/>
      <c r="M14" s="53"/>
      <c r="N14" s="51"/>
      <c r="O14" s="51"/>
      <c r="P14" s="51"/>
      <c r="Q14" s="51"/>
      <c r="R14" s="51"/>
      <c r="S14" s="53"/>
      <c r="T14" s="53"/>
      <c r="U14" s="53"/>
      <c r="V14" s="53"/>
      <c r="W14" s="53"/>
      <c r="X14" s="51"/>
      <c r="Y14" s="51"/>
      <c r="Z14" s="51"/>
      <c r="AA14" s="51"/>
      <c r="AB14" s="51"/>
      <c r="AC14" s="53"/>
      <c r="AD14" s="53"/>
      <c r="AE14" s="53"/>
      <c r="AF14" s="53"/>
      <c r="AG14" s="53"/>
      <c r="AH14" s="51"/>
      <c r="AI14" s="51"/>
      <c r="AJ14" s="51"/>
      <c r="AK14" s="51"/>
      <c r="AL14" s="51"/>
      <c r="AM14" s="53"/>
      <c r="AN14" s="53"/>
      <c r="AO14" s="53"/>
      <c r="AP14" s="53"/>
      <c r="AQ14" s="53"/>
      <c r="AR14" s="23"/>
      <c r="AS14" s="23"/>
      <c r="AT14" s="23"/>
      <c r="AU14" s="23"/>
      <c r="AV14" s="23"/>
    </row>
    <row r="15" spans="1:48" ht="17.25" customHeight="1">
      <c r="A15" s="25" t="s">
        <v>19</v>
      </c>
      <c r="B15" s="74" t="s">
        <v>48</v>
      </c>
      <c r="C15" s="20" t="s">
        <v>30</v>
      </c>
      <c r="D15" s="21" t="s">
        <v>18</v>
      </c>
      <c r="E15" s="40">
        <v>46302</v>
      </c>
      <c r="F15" s="40">
        <v>46305</v>
      </c>
      <c r="G15" s="20">
        <f t="shared" si="1"/>
        <v>4</v>
      </c>
      <c r="H15" s="22">
        <v>1</v>
      </c>
      <c r="I15" s="54"/>
      <c r="J15" s="55"/>
      <c r="K15" s="53"/>
      <c r="L15" s="64"/>
      <c r="M15" s="64"/>
      <c r="N15" s="62"/>
      <c r="O15" s="62"/>
      <c r="P15" s="51"/>
      <c r="Q15" s="51"/>
      <c r="R15" s="51"/>
      <c r="S15" s="53"/>
      <c r="T15" s="53"/>
      <c r="U15" s="53"/>
      <c r="V15" s="53"/>
      <c r="W15" s="53"/>
      <c r="X15" s="51"/>
      <c r="Y15" s="51"/>
      <c r="Z15" s="51"/>
      <c r="AA15" s="51"/>
      <c r="AB15" s="51"/>
      <c r="AC15" s="53"/>
      <c r="AD15" s="53"/>
      <c r="AE15" s="53"/>
      <c r="AF15" s="53"/>
      <c r="AG15" s="53"/>
      <c r="AH15" s="51"/>
      <c r="AI15" s="51"/>
      <c r="AJ15" s="51"/>
      <c r="AK15" s="51"/>
      <c r="AL15" s="51"/>
      <c r="AM15" s="53"/>
      <c r="AN15" s="53"/>
      <c r="AO15" s="53"/>
      <c r="AP15" s="53"/>
      <c r="AQ15" s="53"/>
      <c r="AR15" s="23"/>
      <c r="AS15" s="23"/>
      <c r="AT15" s="23"/>
      <c r="AU15" s="23"/>
      <c r="AV15" s="23"/>
    </row>
    <row r="16" spans="1:48" ht="15.75" customHeight="1">
      <c r="A16" s="25" t="s">
        <v>20</v>
      </c>
      <c r="B16" s="74" t="s">
        <v>49</v>
      </c>
      <c r="C16" s="20" t="s">
        <v>29</v>
      </c>
      <c r="D16" s="21" t="s">
        <v>13</v>
      </c>
      <c r="E16" s="40">
        <v>46302</v>
      </c>
      <c r="F16" s="40">
        <v>46302</v>
      </c>
      <c r="G16" s="20">
        <f t="shared" si="1"/>
        <v>1</v>
      </c>
      <c r="H16" s="22">
        <v>1</v>
      </c>
      <c r="I16" s="65"/>
      <c r="J16" s="55"/>
      <c r="K16" s="66"/>
      <c r="L16" s="56"/>
      <c r="M16" s="56"/>
      <c r="N16" s="57"/>
      <c r="O16" s="57"/>
      <c r="P16" s="51"/>
      <c r="Q16" s="51"/>
      <c r="R16" s="51"/>
      <c r="S16" s="53"/>
      <c r="T16" s="53"/>
      <c r="U16" s="53"/>
      <c r="V16" s="53"/>
      <c r="W16" s="53"/>
      <c r="X16" s="51"/>
      <c r="Y16" s="51"/>
      <c r="Z16" s="51"/>
      <c r="AA16" s="51"/>
      <c r="AB16" s="51"/>
      <c r="AC16" s="53"/>
      <c r="AD16" s="53"/>
      <c r="AE16" s="53"/>
      <c r="AF16" s="53"/>
      <c r="AG16" s="53"/>
      <c r="AH16" s="51"/>
      <c r="AI16" s="51"/>
      <c r="AJ16" s="51"/>
      <c r="AK16" s="51"/>
      <c r="AL16" s="51"/>
      <c r="AM16" s="53"/>
      <c r="AN16" s="53"/>
      <c r="AO16" s="53"/>
      <c r="AP16" s="53"/>
      <c r="AQ16" s="53"/>
      <c r="AR16" s="23"/>
      <c r="AS16" s="23"/>
      <c r="AT16" s="23"/>
      <c r="AU16" s="23"/>
      <c r="AV16" s="23"/>
    </row>
    <row r="17" spans="1:48" ht="17.25" customHeight="1">
      <c r="A17" s="25" t="s">
        <v>21</v>
      </c>
      <c r="B17" s="74" t="s">
        <v>50</v>
      </c>
      <c r="C17" s="20" t="s">
        <v>32</v>
      </c>
      <c r="D17" s="21" t="s">
        <v>15</v>
      </c>
      <c r="E17" s="40">
        <v>46305</v>
      </c>
      <c r="F17" s="40">
        <v>46305</v>
      </c>
      <c r="G17" s="20">
        <f t="shared" si="1"/>
        <v>1</v>
      </c>
      <c r="H17" s="22">
        <v>1</v>
      </c>
      <c r="I17" s="48"/>
      <c r="J17" s="55"/>
      <c r="K17" s="53"/>
      <c r="L17" s="53"/>
      <c r="M17" s="53"/>
      <c r="N17" s="63"/>
      <c r="O17" s="63"/>
      <c r="P17" s="51"/>
      <c r="Q17" s="51"/>
      <c r="R17" s="51"/>
      <c r="S17" s="53"/>
      <c r="T17" s="53"/>
      <c r="U17" s="53"/>
      <c r="V17" s="53"/>
      <c r="W17" s="53"/>
      <c r="X17" s="51"/>
      <c r="Y17" s="51"/>
      <c r="Z17" s="51"/>
      <c r="AA17" s="51"/>
      <c r="AB17" s="51"/>
      <c r="AC17" s="53"/>
      <c r="AD17" s="53"/>
      <c r="AE17" s="53"/>
      <c r="AF17" s="53"/>
      <c r="AG17" s="53"/>
      <c r="AH17" s="51"/>
      <c r="AI17" s="51"/>
      <c r="AJ17" s="51"/>
      <c r="AK17" s="51"/>
      <c r="AL17" s="51"/>
      <c r="AM17" s="53"/>
      <c r="AN17" s="53"/>
      <c r="AO17" s="53"/>
      <c r="AP17" s="53"/>
      <c r="AQ17" s="53"/>
      <c r="AR17" s="23"/>
      <c r="AS17" s="23"/>
      <c r="AT17" s="23"/>
      <c r="AU17" s="23"/>
      <c r="AV17" s="23"/>
    </row>
    <row r="18" spans="1:48" ht="17.25" customHeight="1">
      <c r="A18" s="29" t="s">
        <v>22</v>
      </c>
      <c r="B18" s="75" t="s">
        <v>51</v>
      </c>
      <c r="C18" s="20" t="s">
        <v>33</v>
      </c>
      <c r="D18" s="21" t="s">
        <v>23</v>
      </c>
      <c r="E18" s="40">
        <v>46302</v>
      </c>
      <c r="F18" s="40">
        <v>46305</v>
      </c>
      <c r="G18" s="20">
        <f t="shared" si="1"/>
        <v>4</v>
      </c>
      <c r="H18" s="22">
        <v>1</v>
      </c>
      <c r="I18" s="54"/>
      <c r="J18" s="55"/>
      <c r="K18" s="53"/>
      <c r="L18" s="58"/>
      <c r="M18" s="58"/>
      <c r="N18" s="67"/>
      <c r="O18" s="67"/>
      <c r="P18" s="68"/>
      <c r="Q18" s="68"/>
      <c r="R18" s="68"/>
      <c r="S18" s="53"/>
      <c r="T18" s="53"/>
      <c r="U18" s="53"/>
      <c r="V18" s="53"/>
      <c r="W18" s="53"/>
      <c r="X18" s="68"/>
      <c r="Y18" s="68"/>
      <c r="Z18" s="68"/>
      <c r="AA18" s="68"/>
      <c r="AB18" s="68"/>
      <c r="AC18" s="53"/>
      <c r="AD18" s="53"/>
      <c r="AE18" s="53"/>
      <c r="AF18" s="53"/>
      <c r="AG18" s="53"/>
      <c r="AH18" s="51"/>
      <c r="AI18" s="51"/>
      <c r="AJ18" s="51"/>
      <c r="AK18" s="51"/>
      <c r="AL18" s="51"/>
      <c r="AM18" s="53"/>
      <c r="AN18" s="53"/>
      <c r="AO18" s="53"/>
      <c r="AP18" s="53"/>
      <c r="AQ18" s="53"/>
      <c r="AR18" s="23"/>
      <c r="AS18" s="23"/>
      <c r="AT18" s="23"/>
      <c r="AU18" s="23"/>
      <c r="AV18" s="23"/>
    </row>
    <row r="19" spans="1:48" ht="21" customHeight="1">
      <c r="A19" s="14">
        <v>2</v>
      </c>
      <c r="B19" s="76" t="s">
        <v>52</v>
      </c>
      <c r="C19" s="16"/>
      <c r="D19" s="16"/>
      <c r="E19" s="43"/>
      <c r="F19" s="43"/>
      <c r="G19" s="16" t="str">
        <f>IF(OR(E19="",F19=""),"",IF(F19&lt;E19,"날짜 확인",F19-E19+1))</f>
        <v/>
      </c>
      <c r="H19" s="16"/>
      <c r="I19" s="17"/>
      <c r="J19" s="18"/>
      <c r="K19" s="19"/>
      <c r="L19" s="19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1"/>
      <c r="AS19" s="11"/>
      <c r="AT19" s="11"/>
      <c r="AU19" s="11"/>
      <c r="AV19" s="11"/>
    </row>
    <row r="20" spans="1:48" ht="17.25" customHeight="1">
      <c r="A20" s="20">
        <v>2.1</v>
      </c>
      <c r="B20" s="74" t="s">
        <v>53</v>
      </c>
      <c r="C20" s="20"/>
      <c r="D20" s="30"/>
      <c r="E20" s="40"/>
      <c r="F20" s="40"/>
      <c r="G20" s="20" t="str">
        <f>IF(OR(E20="",F20=""),"",IF(F20&lt;E20,"날짜 확인",F20-E20+1))</f>
        <v/>
      </c>
      <c r="H20" s="22"/>
      <c r="I20" s="48"/>
      <c r="J20" s="49"/>
      <c r="K20" s="50"/>
      <c r="L20" s="50"/>
      <c r="M20" s="50"/>
      <c r="N20" s="51"/>
      <c r="O20" s="51"/>
      <c r="P20" s="51"/>
      <c r="Q20" s="51"/>
      <c r="R20" s="51"/>
      <c r="S20" s="50"/>
      <c r="T20" s="50"/>
      <c r="U20" s="50"/>
      <c r="V20" s="50"/>
      <c r="W20" s="50"/>
      <c r="X20" s="51"/>
      <c r="Y20" s="51"/>
      <c r="Z20" s="51"/>
      <c r="AA20" s="51"/>
      <c r="AB20" s="51"/>
      <c r="AC20" s="50"/>
      <c r="AD20" s="50"/>
      <c r="AE20" s="50"/>
      <c r="AF20" s="50"/>
      <c r="AG20" s="50"/>
      <c r="AH20" s="52"/>
      <c r="AI20" s="52"/>
      <c r="AJ20" s="52"/>
      <c r="AK20" s="52"/>
      <c r="AL20" s="52"/>
      <c r="AM20" s="53"/>
      <c r="AN20" s="53"/>
      <c r="AO20" s="53"/>
      <c r="AP20" s="53"/>
      <c r="AQ20" s="53"/>
      <c r="AR20" s="23"/>
      <c r="AS20" s="23"/>
      <c r="AT20" s="23"/>
      <c r="AU20" s="23"/>
      <c r="AV20" s="23"/>
    </row>
    <row r="21" spans="1:48" ht="17.25" customHeight="1">
      <c r="A21" s="25" t="s">
        <v>24</v>
      </c>
      <c r="B21" s="74" t="s">
        <v>54</v>
      </c>
      <c r="C21" s="27" t="s">
        <v>30</v>
      </c>
      <c r="D21" s="21" t="s">
        <v>15</v>
      </c>
      <c r="E21" s="40">
        <v>46314</v>
      </c>
      <c r="F21" s="40">
        <v>46317</v>
      </c>
      <c r="G21" s="20">
        <f t="shared" ref="G21:G22" si="2">IF(OR(E21="",F21=""),"",IF(F21&lt;E21,"날짜 확인",F21-E21+1))</f>
        <v>4</v>
      </c>
      <c r="H21" s="24">
        <v>1</v>
      </c>
      <c r="I21" s="54"/>
      <c r="J21" s="55"/>
      <c r="K21" s="53"/>
      <c r="L21" s="53"/>
      <c r="M21" s="53"/>
      <c r="N21" s="51"/>
      <c r="O21" s="51"/>
      <c r="P21" s="51"/>
      <c r="Q21" s="51"/>
      <c r="R21" s="51"/>
      <c r="S21" s="53"/>
      <c r="T21" s="53"/>
      <c r="U21" s="53"/>
      <c r="V21" s="53"/>
      <c r="W21" s="53"/>
      <c r="X21" s="62"/>
      <c r="Y21" s="51"/>
      <c r="Z21" s="51"/>
      <c r="AA21" s="62"/>
      <c r="AB21" s="62"/>
      <c r="AC21" s="50"/>
      <c r="AD21" s="50"/>
      <c r="AE21" s="69"/>
      <c r="AF21" s="70"/>
      <c r="AG21" s="70"/>
      <c r="AH21" s="51"/>
      <c r="AI21" s="51"/>
      <c r="AJ21" s="51"/>
      <c r="AK21" s="51"/>
      <c r="AL21" s="51"/>
      <c r="AM21" s="53"/>
      <c r="AN21" s="53"/>
      <c r="AO21" s="53"/>
      <c r="AP21" s="53"/>
      <c r="AQ21" s="53"/>
      <c r="AR21" s="23"/>
      <c r="AS21" s="23"/>
      <c r="AT21" s="23"/>
      <c r="AU21" s="23"/>
      <c r="AV21" s="23"/>
    </row>
    <row r="22" spans="1:48" ht="17.25" customHeight="1">
      <c r="A22" s="25" t="s">
        <v>25</v>
      </c>
      <c r="B22" s="75" t="s">
        <v>55</v>
      </c>
      <c r="C22" s="27" t="s">
        <v>56</v>
      </c>
      <c r="D22" s="21" t="s">
        <v>23</v>
      </c>
      <c r="E22" s="40">
        <v>46317</v>
      </c>
      <c r="F22" s="40">
        <v>46317</v>
      </c>
      <c r="G22" s="20">
        <f t="shared" si="2"/>
        <v>1</v>
      </c>
      <c r="H22" s="24">
        <v>1</v>
      </c>
      <c r="I22" s="54"/>
      <c r="J22" s="55"/>
      <c r="K22" s="53"/>
      <c r="L22" s="53"/>
      <c r="M22" s="53"/>
      <c r="N22" s="51"/>
      <c r="O22" s="51"/>
      <c r="P22" s="51"/>
      <c r="Q22" s="51"/>
      <c r="R22" s="51"/>
      <c r="S22" s="53"/>
      <c r="T22" s="53"/>
      <c r="U22" s="53"/>
      <c r="V22" s="53"/>
      <c r="W22" s="53"/>
      <c r="X22" s="51"/>
      <c r="Y22" s="51"/>
      <c r="Z22" s="51"/>
      <c r="AA22" s="57"/>
      <c r="AB22" s="57"/>
      <c r="AC22" s="53"/>
      <c r="AD22" s="53"/>
      <c r="AE22" s="53"/>
      <c r="AF22" s="53"/>
      <c r="AG22" s="53"/>
      <c r="AH22" s="51"/>
      <c r="AI22" s="51"/>
      <c r="AJ22" s="51"/>
      <c r="AK22" s="51"/>
      <c r="AL22" s="51"/>
      <c r="AM22" s="53"/>
      <c r="AN22" s="53"/>
      <c r="AO22" s="53"/>
      <c r="AP22" s="53"/>
      <c r="AQ22" s="53"/>
      <c r="AR22" s="23"/>
      <c r="AS22" s="23"/>
      <c r="AT22" s="23"/>
      <c r="AU22" s="23"/>
      <c r="AV22" s="23"/>
    </row>
    <row r="23" spans="1:48" ht="21" customHeight="1">
      <c r="A23" s="31">
        <v>3</v>
      </c>
      <c r="B23" s="76" t="s">
        <v>57</v>
      </c>
      <c r="C23" s="16"/>
      <c r="D23" s="16"/>
      <c r="E23" s="43"/>
      <c r="F23" s="43"/>
      <c r="G23" s="16" t="str">
        <f>IF(OR(E23="",F23=""),"",IF(F23&lt;E23,"날짜 확인",F23-E23+1))</f>
        <v/>
      </c>
      <c r="H23" s="16"/>
      <c r="I23" s="17"/>
      <c r="J23" s="18"/>
      <c r="K23" s="19"/>
      <c r="L23" s="19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1"/>
      <c r="AS23" s="11"/>
      <c r="AT23" s="11"/>
      <c r="AU23" s="11"/>
      <c r="AV23" s="11"/>
    </row>
    <row r="24" spans="1:48" ht="17.25" customHeight="1">
      <c r="A24" s="20">
        <v>3.1</v>
      </c>
      <c r="B24" s="74" t="s">
        <v>58</v>
      </c>
      <c r="C24" s="20"/>
      <c r="D24" s="21"/>
      <c r="E24" s="40"/>
      <c r="F24" s="40"/>
      <c r="G24" s="20" t="str">
        <f>IF(OR(E24="",F24=""),"",IF(F24&lt;E24,"날짜 확인",F24-E24+1))</f>
        <v/>
      </c>
      <c r="H24" s="22"/>
      <c r="I24" s="48"/>
      <c r="J24" s="48"/>
      <c r="K24" s="49"/>
      <c r="L24" s="71"/>
      <c r="M24" s="72"/>
      <c r="N24" s="51"/>
      <c r="O24" s="51"/>
      <c r="P24" s="51"/>
      <c r="Q24" s="51"/>
      <c r="R24" s="51"/>
      <c r="S24" s="50"/>
      <c r="T24" s="50"/>
      <c r="U24" s="50"/>
      <c r="V24" s="50"/>
      <c r="W24" s="53"/>
      <c r="X24" s="51"/>
      <c r="Y24" s="51"/>
      <c r="Z24" s="51"/>
      <c r="AA24" s="51"/>
      <c r="AB24" s="51"/>
      <c r="AC24" s="50"/>
      <c r="AD24" s="50"/>
      <c r="AE24" s="50"/>
      <c r="AF24" s="50"/>
      <c r="AG24" s="50"/>
      <c r="AH24" s="52"/>
      <c r="AI24" s="52"/>
      <c r="AJ24" s="52"/>
      <c r="AK24" s="52"/>
      <c r="AL24" s="52"/>
      <c r="AM24" s="53"/>
      <c r="AN24" s="53"/>
      <c r="AO24" s="53"/>
      <c r="AP24" s="53"/>
      <c r="AQ24" s="53"/>
      <c r="AR24" s="23"/>
      <c r="AS24" s="23"/>
      <c r="AT24" s="23"/>
      <c r="AU24" s="23"/>
      <c r="AV24" s="23"/>
    </row>
    <row r="25" spans="1:48" ht="17.25" customHeight="1">
      <c r="A25" s="26" t="s">
        <v>80</v>
      </c>
      <c r="B25" s="74" t="s">
        <v>59</v>
      </c>
      <c r="C25" s="20" t="s">
        <v>11</v>
      </c>
      <c r="D25" s="21" t="s">
        <v>26</v>
      </c>
      <c r="E25" s="40">
        <v>46301</v>
      </c>
      <c r="F25" s="40">
        <v>46305</v>
      </c>
      <c r="G25" s="20">
        <f>IF(OR(E25="",F25=""),"",IF(F25&lt;E25,"날짜 확인",F25-E25+1))</f>
        <v>5</v>
      </c>
      <c r="H25" s="22">
        <v>1</v>
      </c>
      <c r="I25" s="54"/>
      <c r="J25" s="55"/>
      <c r="K25" s="56"/>
      <c r="L25" s="56"/>
      <c r="M25" s="56"/>
      <c r="N25" s="57"/>
      <c r="O25" s="57"/>
      <c r="P25" s="51"/>
      <c r="Q25" s="51"/>
      <c r="R25" s="51"/>
      <c r="S25" s="50"/>
      <c r="T25" s="50"/>
      <c r="U25" s="50"/>
      <c r="V25" s="50"/>
      <c r="W25" s="50"/>
      <c r="X25" s="51"/>
      <c r="Y25" s="51"/>
      <c r="Z25" s="51"/>
      <c r="AA25" s="51"/>
      <c r="AB25" s="51"/>
      <c r="AC25" s="53"/>
      <c r="AD25" s="53"/>
      <c r="AE25" s="53"/>
      <c r="AF25" s="53"/>
      <c r="AG25" s="53"/>
      <c r="AH25" s="51"/>
      <c r="AI25" s="51"/>
      <c r="AJ25" s="51"/>
      <c r="AK25" s="51"/>
      <c r="AL25" s="51"/>
      <c r="AM25" s="53"/>
      <c r="AN25" s="53"/>
      <c r="AO25" s="53"/>
      <c r="AP25" s="53"/>
      <c r="AQ25" s="53"/>
      <c r="AR25" s="23"/>
      <c r="AS25" s="23"/>
      <c r="AT25" s="23"/>
      <c r="AU25" s="23"/>
      <c r="AV25" s="23"/>
    </row>
    <row r="26" spans="1:48" ht="17.25" customHeight="1">
      <c r="A26" s="26" t="s">
        <v>82</v>
      </c>
      <c r="B26" s="74" t="s">
        <v>60</v>
      </c>
      <c r="C26" s="20" t="s">
        <v>11</v>
      </c>
      <c r="D26" s="21" t="s">
        <v>26</v>
      </c>
      <c r="E26" s="40">
        <v>46306</v>
      </c>
      <c r="F26" s="40">
        <v>46315</v>
      </c>
      <c r="G26" s="20">
        <f>IF(OR(E26="",F26=""),"",IF(F26&lt;E26,"날짜 확인",F26-E26+1))</f>
        <v>10</v>
      </c>
      <c r="H26" s="24">
        <v>1</v>
      </c>
      <c r="I26" s="54"/>
      <c r="J26" s="55"/>
      <c r="K26" s="55"/>
      <c r="L26" s="55"/>
      <c r="M26" s="55"/>
      <c r="N26" s="51"/>
      <c r="O26" s="51"/>
      <c r="P26" s="57"/>
      <c r="Q26" s="57"/>
      <c r="R26" s="57"/>
      <c r="S26" s="56"/>
      <c r="T26" s="56"/>
      <c r="U26" s="56"/>
      <c r="V26" s="56"/>
      <c r="W26" s="56"/>
      <c r="X26" s="57"/>
      <c r="Y26" s="57"/>
      <c r="Z26" s="51"/>
      <c r="AA26" s="51"/>
      <c r="AB26" s="51"/>
      <c r="AC26" s="53"/>
      <c r="AD26" s="53"/>
      <c r="AE26" s="53"/>
      <c r="AF26" s="53"/>
      <c r="AG26" s="53"/>
      <c r="AH26" s="51"/>
      <c r="AI26" s="51"/>
      <c r="AJ26" s="51"/>
      <c r="AK26" s="51"/>
      <c r="AL26" s="51"/>
      <c r="AM26" s="53"/>
      <c r="AN26" s="53"/>
      <c r="AO26" s="53"/>
      <c r="AP26" s="53"/>
      <c r="AQ26" s="53"/>
      <c r="AR26" s="23"/>
      <c r="AS26" s="23"/>
      <c r="AT26" s="23"/>
      <c r="AU26" s="23"/>
      <c r="AV26" s="23"/>
    </row>
    <row r="27" spans="1:48" ht="17.25" customHeight="1">
      <c r="A27" s="26" t="s">
        <v>83</v>
      </c>
      <c r="B27" s="74" t="s">
        <v>61</v>
      </c>
      <c r="C27" s="20" t="s">
        <v>11</v>
      </c>
      <c r="D27" s="21" t="s">
        <v>26</v>
      </c>
      <c r="E27" s="40">
        <v>46306</v>
      </c>
      <c r="F27" s="40">
        <v>46326</v>
      </c>
      <c r="G27" s="20">
        <f t="shared" ref="G27:G28" si="3">IF(OR(E27="",F27=""),"",IF(F27&lt;E27,"날짜 확인",F27-E27+1))</f>
        <v>21</v>
      </c>
      <c r="H27" s="32">
        <v>1</v>
      </c>
      <c r="I27" s="54"/>
      <c r="J27" s="55"/>
      <c r="K27" s="53"/>
      <c r="L27" s="53"/>
      <c r="M27" s="53"/>
      <c r="N27" s="51"/>
      <c r="O27" s="51"/>
      <c r="P27" s="51"/>
      <c r="Q27" s="51"/>
      <c r="R27" s="51"/>
      <c r="S27" s="50"/>
      <c r="T27" s="50"/>
      <c r="U27" s="56"/>
      <c r="V27" s="56"/>
      <c r="W27" s="56"/>
      <c r="X27" s="57"/>
      <c r="Y27" s="57"/>
      <c r="Z27" s="57"/>
      <c r="AA27" s="57"/>
      <c r="AB27" s="51"/>
      <c r="AC27" s="53"/>
      <c r="AD27" s="53"/>
      <c r="AE27" s="53"/>
      <c r="AF27" s="53"/>
      <c r="AG27" s="53"/>
      <c r="AH27" s="51"/>
      <c r="AI27" s="51"/>
      <c r="AJ27" s="51"/>
      <c r="AK27" s="51"/>
      <c r="AL27" s="51"/>
      <c r="AM27" s="53"/>
      <c r="AN27" s="53"/>
      <c r="AO27" s="53"/>
      <c r="AP27" s="53"/>
      <c r="AQ27" s="53"/>
      <c r="AR27" s="23"/>
      <c r="AS27" s="23"/>
      <c r="AT27" s="23"/>
      <c r="AU27" s="23"/>
      <c r="AV27" s="23"/>
    </row>
    <row r="28" spans="1:48" ht="17.25" customHeight="1">
      <c r="A28" s="26" t="s">
        <v>84</v>
      </c>
      <c r="B28" s="74" t="s">
        <v>62</v>
      </c>
      <c r="C28" s="20" t="s">
        <v>11</v>
      </c>
      <c r="D28" s="21" t="s">
        <v>26</v>
      </c>
      <c r="E28" s="40">
        <v>46306</v>
      </c>
      <c r="F28" s="40">
        <v>46326</v>
      </c>
      <c r="G28" s="20">
        <f t="shared" si="3"/>
        <v>21</v>
      </c>
      <c r="H28" s="24">
        <v>1</v>
      </c>
      <c r="I28" s="54"/>
      <c r="J28" s="55"/>
      <c r="K28" s="53"/>
      <c r="L28" s="53"/>
      <c r="M28" s="53"/>
      <c r="N28" s="51"/>
      <c r="O28" s="51"/>
      <c r="P28" s="57"/>
      <c r="Q28" s="57"/>
      <c r="R28" s="57"/>
      <c r="S28" s="56"/>
      <c r="T28" s="56"/>
      <c r="U28" s="56"/>
      <c r="V28" s="56"/>
      <c r="W28" s="56"/>
      <c r="X28" s="57"/>
      <c r="Y28" s="57"/>
      <c r="Z28" s="57"/>
      <c r="AA28" s="57"/>
      <c r="AB28" s="51"/>
      <c r="AC28" s="53"/>
      <c r="AD28" s="53"/>
      <c r="AE28" s="56"/>
      <c r="AF28" s="56"/>
      <c r="AG28" s="56"/>
      <c r="AH28" s="51"/>
      <c r="AI28" s="51"/>
      <c r="AJ28" s="57"/>
      <c r="AK28" s="57"/>
      <c r="AL28" s="51"/>
      <c r="AM28" s="53"/>
      <c r="AN28" s="53"/>
      <c r="AO28" s="53"/>
      <c r="AP28" s="53"/>
      <c r="AQ28" s="53"/>
      <c r="AR28" s="23"/>
      <c r="AS28" s="23"/>
      <c r="AT28" s="23"/>
      <c r="AU28" s="23"/>
      <c r="AV28" s="23"/>
    </row>
    <row r="29" spans="1:48" ht="17.25" customHeight="1">
      <c r="A29" s="20">
        <v>3.2</v>
      </c>
      <c r="B29" s="74" t="s">
        <v>63</v>
      </c>
      <c r="C29" s="20"/>
      <c r="D29" s="21"/>
      <c r="E29" s="40"/>
      <c r="F29" s="40"/>
      <c r="G29" s="20" t="str">
        <f>IF(OR(E29="",F29=""),"",IF(F29&lt;E29,"날짜 확인",F29-E29+1))</f>
        <v/>
      </c>
      <c r="H29" s="22"/>
      <c r="I29" s="54"/>
      <c r="J29" s="55"/>
      <c r="K29" s="53"/>
      <c r="L29" s="53"/>
      <c r="M29" s="53"/>
      <c r="N29" s="51"/>
      <c r="O29" s="51"/>
      <c r="P29" s="51"/>
      <c r="Q29" s="51"/>
      <c r="R29" s="51"/>
      <c r="S29" s="50"/>
      <c r="T29" s="50"/>
      <c r="U29" s="50"/>
      <c r="V29" s="50"/>
      <c r="W29" s="53"/>
      <c r="X29" s="51"/>
      <c r="Y29" s="51"/>
      <c r="Z29" s="51"/>
      <c r="AA29" s="51"/>
      <c r="AB29" s="51"/>
      <c r="AC29" s="53"/>
      <c r="AD29" s="53"/>
      <c r="AE29" s="53"/>
      <c r="AF29" s="53"/>
      <c r="AG29" s="53"/>
      <c r="AH29" s="51"/>
      <c r="AI29" s="51"/>
      <c r="AJ29" s="51"/>
      <c r="AK29" s="51"/>
      <c r="AL29" s="51"/>
      <c r="AM29" s="53"/>
      <c r="AN29" s="53"/>
      <c r="AO29" s="53"/>
      <c r="AP29" s="53"/>
      <c r="AQ29" s="53"/>
      <c r="AR29" s="23"/>
      <c r="AS29" s="23"/>
      <c r="AT29" s="23"/>
      <c r="AU29" s="23"/>
      <c r="AV29" s="23"/>
    </row>
    <row r="30" spans="1:48" ht="17.25" customHeight="1">
      <c r="A30" s="25" t="s">
        <v>85</v>
      </c>
      <c r="B30" s="74" t="s">
        <v>64</v>
      </c>
      <c r="C30" s="27" t="s">
        <v>65</v>
      </c>
      <c r="D30" s="21" t="s">
        <v>26</v>
      </c>
      <c r="E30" s="40">
        <v>46316</v>
      </c>
      <c r="F30" s="40">
        <v>46330</v>
      </c>
      <c r="G30" s="20">
        <f t="shared" ref="G30:G31" si="4">IF(OR(E30="",F30=""),"",IF(F30&lt;E30,"날짜 확인",F30-E30+1))</f>
        <v>15</v>
      </c>
      <c r="H30" s="24">
        <v>1</v>
      </c>
      <c r="I30" s="54"/>
      <c r="J30" s="55"/>
      <c r="K30" s="53"/>
      <c r="L30" s="53"/>
      <c r="M30" s="53"/>
      <c r="N30" s="51"/>
      <c r="O30" s="51"/>
      <c r="P30" s="51"/>
      <c r="Q30" s="51"/>
      <c r="R30" s="51"/>
      <c r="S30" s="53"/>
      <c r="T30" s="53"/>
      <c r="U30" s="53"/>
      <c r="V30" s="53"/>
      <c r="W30" s="53"/>
      <c r="X30" s="51"/>
      <c r="Y30" s="51"/>
      <c r="Z30" s="57"/>
      <c r="AA30" s="57"/>
      <c r="AB30" s="51"/>
      <c r="AC30" s="56"/>
      <c r="AD30" s="56"/>
      <c r="AE30" s="56"/>
      <c r="AF30" s="53"/>
      <c r="AG30" s="53"/>
      <c r="AH30" s="57"/>
      <c r="AI30" s="57"/>
      <c r="AJ30" s="57"/>
      <c r="AK30" s="57"/>
      <c r="AL30" s="57"/>
      <c r="AM30" s="56"/>
      <c r="AN30" s="56"/>
      <c r="AO30" s="53"/>
      <c r="AP30" s="53"/>
      <c r="AQ30" s="53"/>
      <c r="AR30" s="23"/>
      <c r="AS30" s="23"/>
      <c r="AT30" s="23"/>
      <c r="AU30" s="23"/>
      <c r="AV30" s="23"/>
    </row>
    <row r="31" spans="1:48" ht="17.25" customHeight="1">
      <c r="A31" s="25" t="s">
        <v>86</v>
      </c>
      <c r="B31" s="74" t="s">
        <v>66</v>
      </c>
      <c r="C31" s="27" t="s">
        <v>29</v>
      </c>
      <c r="D31" s="21" t="s">
        <v>26</v>
      </c>
      <c r="E31" s="40">
        <v>46326</v>
      </c>
      <c r="F31" s="40">
        <v>46329</v>
      </c>
      <c r="G31" s="20">
        <f t="shared" si="4"/>
        <v>4</v>
      </c>
      <c r="H31" s="24">
        <v>1</v>
      </c>
      <c r="I31" s="54"/>
      <c r="J31" s="55"/>
      <c r="K31" s="53"/>
      <c r="L31" s="53"/>
      <c r="M31" s="53"/>
      <c r="N31" s="51"/>
      <c r="O31" s="51"/>
      <c r="P31" s="51"/>
      <c r="Q31" s="51"/>
      <c r="R31" s="51"/>
      <c r="S31" s="53"/>
      <c r="T31" s="53"/>
      <c r="U31" s="53"/>
      <c r="V31" s="53"/>
      <c r="W31" s="53"/>
      <c r="X31" s="51"/>
      <c r="Y31" s="51"/>
      <c r="Z31" s="51"/>
      <c r="AA31" s="51"/>
      <c r="AB31" s="51"/>
      <c r="AC31" s="53"/>
      <c r="AD31" s="53"/>
      <c r="AE31" s="53"/>
      <c r="AF31" s="53"/>
      <c r="AG31" s="53"/>
      <c r="AH31" s="51"/>
      <c r="AI31" s="51"/>
      <c r="AJ31" s="57"/>
      <c r="AK31" s="51"/>
      <c r="AL31" s="57"/>
      <c r="AM31" s="56"/>
      <c r="AN31" s="53"/>
      <c r="AO31" s="53"/>
      <c r="AP31" s="53"/>
      <c r="AQ31" s="53"/>
      <c r="AR31" s="23"/>
      <c r="AS31" s="23"/>
      <c r="AT31" s="23"/>
      <c r="AU31" s="23"/>
      <c r="AV31" s="23"/>
    </row>
    <row r="32" spans="1:48" ht="17.25" customHeight="1">
      <c r="A32" s="20">
        <v>3.3</v>
      </c>
      <c r="B32" s="77" t="s">
        <v>67</v>
      </c>
      <c r="C32" s="20"/>
      <c r="D32" s="21"/>
      <c r="E32" s="40"/>
      <c r="F32" s="40"/>
      <c r="G32" s="20" t="str">
        <f>IF(OR(E32="",F32=""),"",IF(F32&lt;E32,"날짜 확인",F32-E32+1))</f>
        <v/>
      </c>
      <c r="H32" s="33"/>
      <c r="I32" s="54"/>
      <c r="J32" s="55"/>
      <c r="K32" s="53"/>
      <c r="L32" s="53"/>
      <c r="M32" s="53"/>
      <c r="N32" s="51"/>
      <c r="O32" s="51"/>
      <c r="P32" s="51"/>
      <c r="Q32" s="51"/>
      <c r="R32" s="51"/>
      <c r="S32" s="50"/>
      <c r="T32" s="50"/>
      <c r="U32" s="50"/>
      <c r="V32" s="50"/>
      <c r="W32" s="53"/>
      <c r="X32" s="51"/>
      <c r="Y32" s="51"/>
      <c r="Z32" s="51"/>
      <c r="AA32" s="51"/>
      <c r="AB32" s="51"/>
      <c r="AC32" s="53"/>
      <c r="AD32" s="53"/>
      <c r="AE32" s="53"/>
      <c r="AF32" s="53"/>
      <c r="AG32" s="53"/>
      <c r="AH32" s="51"/>
      <c r="AI32" s="51"/>
      <c r="AJ32" s="51"/>
      <c r="AK32" s="51"/>
      <c r="AL32" s="51"/>
      <c r="AM32" s="53"/>
      <c r="AN32" s="53"/>
      <c r="AO32" s="53"/>
      <c r="AP32" s="53"/>
      <c r="AQ32" s="53"/>
      <c r="AR32" s="23"/>
      <c r="AS32" s="23"/>
      <c r="AT32" s="23"/>
      <c r="AU32" s="23"/>
      <c r="AV32" s="23"/>
    </row>
    <row r="33" spans="1:48" ht="17.25" customHeight="1">
      <c r="A33" s="26" t="s">
        <v>87</v>
      </c>
      <c r="B33" s="74" t="s">
        <v>68</v>
      </c>
      <c r="C33" s="27" t="s">
        <v>29</v>
      </c>
      <c r="D33" s="21" t="s">
        <v>26</v>
      </c>
      <c r="E33" s="40">
        <v>46327</v>
      </c>
      <c r="F33" s="41">
        <v>46331</v>
      </c>
      <c r="G33" s="20">
        <f>IF(OR(E33="",F33=""),"",IF(F33&lt;E33,"날짜 확인",F33-E33+1))</f>
        <v>5</v>
      </c>
      <c r="H33" s="24">
        <v>1</v>
      </c>
      <c r="I33" s="54"/>
      <c r="J33" s="55"/>
      <c r="K33" s="53"/>
      <c r="L33" s="53"/>
      <c r="M33" s="53"/>
      <c r="N33" s="51"/>
      <c r="O33" s="51"/>
      <c r="P33" s="51"/>
      <c r="Q33" s="51"/>
      <c r="R33" s="51"/>
      <c r="S33" s="50"/>
      <c r="T33" s="50"/>
      <c r="U33" s="50"/>
      <c r="V33" s="50"/>
      <c r="W33" s="53"/>
      <c r="X33" s="51"/>
      <c r="Y33" s="51"/>
      <c r="Z33" s="51"/>
      <c r="AA33" s="51"/>
      <c r="AB33" s="51"/>
      <c r="AC33" s="53"/>
      <c r="AD33" s="53"/>
      <c r="AE33" s="53"/>
      <c r="AF33" s="53"/>
      <c r="AG33" s="53"/>
      <c r="AH33" s="51"/>
      <c r="AI33" s="51"/>
      <c r="AJ33" s="51"/>
      <c r="AK33" s="51"/>
      <c r="AL33" s="57"/>
      <c r="AM33" s="56"/>
      <c r="AN33" s="56"/>
      <c r="AO33" s="56"/>
      <c r="AP33" s="56"/>
      <c r="AQ33" s="53"/>
      <c r="AR33" s="23"/>
      <c r="AS33" s="23"/>
      <c r="AT33" s="23"/>
      <c r="AU33" s="23"/>
      <c r="AV33" s="23"/>
    </row>
    <row r="34" spans="1:48" ht="21" customHeight="1">
      <c r="A34" s="31">
        <v>4</v>
      </c>
      <c r="B34" s="78" t="s">
        <v>69</v>
      </c>
      <c r="C34" s="16"/>
      <c r="D34" s="16"/>
      <c r="E34" s="43"/>
      <c r="F34" s="43"/>
      <c r="G34" s="16" t="str">
        <f>IF(OR(E34="",F34=""),"",IF(F34&lt;E34,"날짜 확인",F34-E34+1))</f>
        <v/>
      </c>
      <c r="H34" s="16"/>
      <c r="I34" s="17"/>
      <c r="J34" s="18"/>
      <c r="K34" s="19"/>
      <c r="L34" s="19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1"/>
      <c r="AS34" s="11"/>
      <c r="AT34" s="11"/>
      <c r="AU34" s="11"/>
      <c r="AV34" s="11"/>
    </row>
    <row r="35" spans="1:48" ht="17.25" customHeight="1">
      <c r="A35" s="20">
        <v>4.0999999999999996</v>
      </c>
      <c r="B35" s="74" t="s">
        <v>70</v>
      </c>
      <c r="C35" s="20"/>
      <c r="D35" s="21"/>
      <c r="E35" s="40"/>
      <c r="F35" s="40"/>
      <c r="G35" s="20" t="str">
        <f>IF(OR(E35="",F35=""),"",IF(F35&lt;E35,"날짜 확인",F35-E35+1))</f>
        <v/>
      </c>
      <c r="H35" s="22"/>
      <c r="I35" s="48"/>
      <c r="J35" s="49"/>
      <c r="K35" s="50"/>
      <c r="L35" s="50"/>
      <c r="M35" s="50"/>
      <c r="N35" s="51"/>
      <c r="O35" s="51"/>
      <c r="P35" s="51"/>
      <c r="Q35" s="51"/>
      <c r="R35" s="51"/>
      <c r="S35" s="50"/>
      <c r="T35" s="50"/>
      <c r="U35" s="50"/>
      <c r="V35" s="50"/>
      <c r="W35" s="50"/>
      <c r="X35" s="51"/>
      <c r="Y35" s="51"/>
      <c r="Z35" s="51"/>
      <c r="AA35" s="51"/>
      <c r="AB35" s="51"/>
      <c r="AC35" s="50"/>
      <c r="AD35" s="50"/>
      <c r="AE35" s="50"/>
      <c r="AF35" s="50"/>
      <c r="AG35" s="50"/>
      <c r="AH35" s="52"/>
      <c r="AI35" s="52"/>
      <c r="AJ35" s="52"/>
      <c r="AK35" s="52"/>
      <c r="AL35" s="52"/>
      <c r="AM35" s="53"/>
      <c r="AN35" s="53"/>
      <c r="AO35" s="53"/>
      <c r="AP35" s="53"/>
      <c r="AQ35" s="53"/>
      <c r="AR35" s="23"/>
      <c r="AS35" s="23"/>
      <c r="AT35" s="23"/>
      <c r="AU35" s="23"/>
      <c r="AV35" s="23"/>
    </row>
    <row r="36" spans="1:48" ht="17.25" customHeight="1">
      <c r="A36" s="26" t="s">
        <v>88</v>
      </c>
      <c r="B36" s="74" t="s">
        <v>71</v>
      </c>
      <c r="C36" s="27" t="s">
        <v>29</v>
      </c>
      <c r="D36" s="21" t="s">
        <v>26</v>
      </c>
      <c r="E36" s="40">
        <v>46326</v>
      </c>
      <c r="F36" s="41">
        <v>46331</v>
      </c>
      <c r="G36" s="20">
        <f t="shared" ref="G36:G37" si="5">IF(OR(E36="",F36=""),"",IF(F36&lt;E36,"날짜 확인",F36-E36+1))</f>
        <v>6</v>
      </c>
      <c r="H36" s="24">
        <v>1</v>
      </c>
      <c r="I36" s="54"/>
      <c r="J36" s="55"/>
      <c r="K36" s="53"/>
      <c r="L36" s="53"/>
      <c r="M36" s="53"/>
      <c r="N36" s="51"/>
      <c r="O36" s="51"/>
      <c r="P36" s="51"/>
      <c r="Q36" s="51"/>
      <c r="R36" s="51"/>
      <c r="S36" s="53"/>
      <c r="T36" s="53"/>
      <c r="U36" s="53"/>
      <c r="V36" s="53"/>
      <c r="W36" s="53"/>
      <c r="X36" s="51"/>
      <c r="Y36" s="51"/>
      <c r="Z36" s="51"/>
      <c r="AA36" s="51"/>
      <c r="AB36" s="51"/>
      <c r="AC36" s="53"/>
      <c r="AD36" s="53"/>
      <c r="AE36" s="53"/>
      <c r="AF36" s="53"/>
      <c r="AG36" s="53"/>
      <c r="AH36" s="51"/>
      <c r="AI36" s="51"/>
      <c r="AJ36" s="51"/>
      <c r="AK36" s="57"/>
      <c r="AL36" s="57"/>
      <c r="AM36" s="56"/>
      <c r="AN36" s="56"/>
      <c r="AO36" s="56"/>
      <c r="AP36" s="56"/>
      <c r="AQ36" s="53"/>
      <c r="AR36" s="23"/>
      <c r="AS36" s="23"/>
      <c r="AT36" s="23"/>
      <c r="AU36" s="23"/>
      <c r="AV36" s="23"/>
    </row>
    <row r="37" spans="1:48" ht="17.25" customHeight="1">
      <c r="A37" s="26" t="s">
        <v>81</v>
      </c>
      <c r="B37" s="74" t="s">
        <v>72</v>
      </c>
      <c r="C37" s="20"/>
      <c r="D37" s="21" t="s">
        <v>26</v>
      </c>
      <c r="E37" s="41">
        <v>46329</v>
      </c>
      <c r="F37" s="41">
        <v>46331</v>
      </c>
      <c r="G37" s="20">
        <f t="shared" si="5"/>
        <v>3</v>
      </c>
      <c r="H37" s="24">
        <v>1</v>
      </c>
      <c r="I37" s="54"/>
      <c r="J37" s="55"/>
      <c r="K37" s="53"/>
      <c r="L37" s="53"/>
      <c r="M37" s="53"/>
      <c r="N37" s="51"/>
      <c r="O37" s="51"/>
      <c r="P37" s="51"/>
      <c r="Q37" s="51"/>
      <c r="R37" s="51"/>
      <c r="S37" s="50"/>
      <c r="T37" s="50"/>
      <c r="U37" s="50"/>
      <c r="V37" s="50"/>
      <c r="W37" s="53"/>
      <c r="X37" s="51"/>
      <c r="Y37" s="51"/>
      <c r="Z37" s="51"/>
      <c r="AA37" s="51"/>
      <c r="AB37" s="51"/>
      <c r="AC37" s="53"/>
      <c r="AD37" s="53"/>
      <c r="AE37" s="53"/>
      <c r="AF37" s="53"/>
      <c r="AG37" s="53"/>
      <c r="AH37" s="51"/>
      <c r="AI37" s="51"/>
      <c r="AJ37" s="51"/>
      <c r="AK37" s="51"/>
      <c r="AL37" s="51"/>
      <c r="AM37" s="56"/>
      <c r="AN37" s="56"/>
      <c r="AO37" s="56"/>
      <c r="AP37" s="56"/>
      <c r="AQ37" s="53"/>
      <c r="AR37" s="23"/>
      <c r="AS37" s="23"/>
      <c r="AT37" s="23"/>
      <c r="AU37" s="23"/>
      <c r="AV37" s="23"/>
    </row>
    <row r="38" spans="1:48" ht="21" customHeight="1">
      <c r="A38" s="31">
        <v>5</v>
      </c>
      <c r="B38" s="76" t="s">
        <v>73</v>
      </c>
      <c r="C38" s="16"/>
      <c r="D38" s="16"/>
      <c r="E38" s="43"/>
      <c r="F38" s="43"/>
      <c r="G38" s="16" t="str">
        <f>IF(OR(E38="",F38=""),"",IF(F38&lt;E38,"날짜 확인",F38-E38+1))</f>
        <v/>
      </c>
      <c r="H38" s="16"/>
      <c r="I38" s="17"/>
      <c r="J38" s="18"/>
      <c r="K38" s="19"/>
      <c r="L38" s="19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1"/>
      <c r="AS38" s="11"/>
      <c r="AT38" s="11"/>
      <c r="AU38" s="11"/>
      <c r="AV38" s="11"/>
    </row>
    <row r="39" spans="1:48" ht="17.25" customHeight="1">
      <c r="A39" s="27">
        <v>5.0999999999999996</v>
      </c>
      <c r="B39" s="74" t="s">
        <v>74</v>
      </c>
      <c r="C39" s="20"/>
      <c r="D39" s="30"/>
      <c r="E39" s="40"/>
      <c r="F39" s="40"/>
      <c r="G39" s="20" t="str">
        <f>IF(OR(E39="",F39=""),"",IF(F39&lt;E39,"날짜 확인",F39-E39+1))</f>
        <v/>
      </c>
      <c r="H39" s="22"/>
      <c r="I39" s="48"/>
      <c r="J39" s="49"/>
      <c r="K39" s="50"/>
      <c r="L39" s="50"/>
      <c r="M39" s="50"/>
      <c r="N39" s="51"/>
      <c r="O39" s="51"/>
      <c r="P39" s="51"/>
      <c r="Q39" s="51"/>
      <c r="R39" s="51"/>
      <c r="S39" s="50"/>
      <c r="T39" s="50"/>
      <c r="U39" s="50"/>
      <c r="V39" s="50"/>
      <c r="W39" s="50"/>
      <c r="X39" s="51"/>
      <c r="Y39" s="51"/>
      <c r="Z39" s="51"/>
      <c r="AA39" s="51"/>
      <c r="AB39" s="51"/>
      <c r="AC39" s="50"/>
      <c r="AD39" s="50"/>
      <c r="AE39" s="50"/>
      <c r="AF39" s="50"/>
      <c r="AG39" s="50"/>
      <c r="AH39" s="52"/>
      <c r="AI39" s="52"/>
      <c r="AJ39" s="52"/>
      <c r="AK39" s="52"/>
      <c r="AL39" s="52"/>
      <c r="AM39" s="53"/>
      <c r="AN39" s="53"/>
      <c r="AO39" s="53"/>
      <c r="AP39" s="53"/>
      <c r="AQ39" s="53"/>
      <c r="AR39" s="23"/>
      <c r="AS39" s="23"/>
      <c r="AT39" s="23"/>
      <c r="AU39" s="23"/>
      <c r="AV39" s="23"/>
    </row>
    <row r="40" spans="1:48" ht="17.25" customHeight="1">
      <c r="A40" s="25" t="s">
        <v>89</v>
      </c>
      <c r="B40" s="74" t="s">
        <v>75</v>
      </c>
      <c r="C40" s="27" t="s">
        <v>30</v>
      </c>
      <c r="D40" s="21" t="s">
        <v>15</v>
      </c>
      <c r="E40" s="40">
        <v>46324</v>
      </c>
      <c r="F40" s="40">
        <v>46326</v>
      </c>
      <c r="G40" s="20">
        <f>IF(OR(E40="",F40=""),"",IF(F40&lt;E40,"날짜 확인",F40-E40+1))</f>
        <v>3</v>
      </c>
      <c r="H40" s="24">
        <v>1</v>
      </c>
      <c r="I40" s="54"/>
      <c r="J40" s="55"/>
      <c r="K40" s="53"/>
      <c r="L40" s="53"/>
      <c r="M40" s="53"/>
      <c r="N40" s="51"/>
      <c r="O40" s="51"/>
      <c r="P40" s="51"/>
      <c r="Q40" s="51"/>
      <c r="R40" s="51"/>
      <c r="S40" s="53"/>
      <c r="T40" s="53"/>
      <c r="U40" s="53"/>
      <c r="V40" s="53"/>
      <c r="W40" s="53"/>
      <c r="X40" s="51"/>
      <c r="Y40" s="51"/>
      <c r="Z40" s="51"/>
      <c r="AA40" s="51"/>
      <c r="AB40" s="51"/>
      <c r="AC40" s="50"/>
      <c r="AD40" s="50"/>
      <c r="AE40" s="69"/>
      <c r="AF40" s="70"/>
      <c r="AG40" s="70"/>
      <c r="AH40" s="51"/>
      <c r="AI40" s="51"/>
      <c r="AJ40" s="51"/>
      <c r="AK40" s="51"/>
      <c r="AL40" s="51"/>
      <c r="AM40" s="64"/>
      <c r="AN40" s="64"/>
      <c r="AO40" s="64"/>
      <c r="AP40" s="56"/>
      <c r="AQ40" s="56"/>
      <c r="AR40" s="23"/>
      <c r="AS40" s="23"/>
      <c r="AT40" s="23"/>
      <c r="AU40" s="23"/>
      <c r="AV40" s="23"/>
    </row>
    <row r="41" spans="1:48" ht="17.25" customHeight="1">
      <c r="A41" s="25" t="s">
        <v>90</v>
      </c>
      <c r="B41" s="75" t="s">
        <v>78</v>
      </c>
      <c r="C41" s="27" t="s">
        <v>79</v>
      </c>
      <c r="D41" s="21" t="s">
        <v>23</v>
      </c>
      <c r="E41" s="40">
        <v>46326</v>
      </c>
      <c r="F41" s="40">
        <v>46331</v>
      </c>
      <c r="G41" s="20">
        <f>IF(OR(E41="",F41=""),"",IF(F41&lt;E41,"날짜 확인",F41-E41+1))</f>
        <v>6</v>
      </c>
      <c r="H41" s="24">
        <v>1</v>
      </c>
      <c r="I41" s="54"/>
      <c r="J41" s="55"/>
      <c r="K41" s="53"/>
      <c r="L41" s="53"/>
      <c r="M41" s="53"/>
      <c r="N41" s="51"/>
      <c r="O41" s="51"/>
      <c r="P41" s="51"/>
      <c r="Q41" s="51"/>
      <c r="R41" s="51"/>
      <c r="S41" s="53"/>
      <c r="T41" s="53"/>
      <c r="U41" s="53"/>
      <c r="V41" s="53"/>
      <c r="W41" s="53"/>
      <c r="X41" s="51"/>
      <c r="Y41" s="51"/>
      <c r="Z41" s="51"/>
      <c r="AA41" s="51"/>
      <c r="AB41" s="51"/>
      <c r="AC41" s="53"/>
      <c r="AD41" s="53"/>
      <c r="AE41" s="53"/>
      <c r="AF41" s="53"/>
      <c r="AG41" s="53"/>
      <c r="AH41" s="51"/>
      <c r="AI41" s="51"/>
      <c r="AJ41" s="51"/>
      <c r="AK41" s="51"/>
      <c r="AL41" s="51"/>
      <c r="AM41" s="56"/>
      <c r="AN41" s="56"/>
      <c r="AO41" s="56"/>
      <c r="AP41" s="73"/>
      <c r="AQ41" s="56"/>
      <c r="AR41" s="23"/>
      <c r="AS41" s="23"/>
      <c r="AT41" s="23"/>
      <c r="AU41" s="23"/>
      <c r="AV41" s="23"/>
    </row>
    <row r="42" spans="1:48" ht="21" customHeight="1">
      <c r="A42" s="31">
        <v>6</v>
      </c>
      <c r="B42" s="78" t="s">
        <v>76</v>
      </c>
      <c r="C42" s="16"/>
      <c r="D42" s="16"/>
      <c r="E42" s="43"/>
      <c r="F42" s="43"/>
      <c r="G42" s="16" t="str">
        <f>IF(OR(E42="",F42=""),"",IF(F42&lt;E42,"날짜 확인",F42-E42+1))</f>
        <v/>
      </c>
      <c r="H42" s="16"/>
      <c r="I42" s="17"/>
      <c r="J42" s="18"/>
      <c r="K42" s="19"/>
      <c r="L42" s="19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1"/>
      <c r="AS42" s="11"/>
      <c r="AT42" s="11"/>
      <c r="AU42" s="11"/>
      <c r="AV42" s="11"/>
    </row>
    <row r="43" spans="1:48" ht="17.25" customHeight="1">
      <c r="A43" s="27">
        <v>6.1</v>
      </c>
      <c r="B43" s="74" t="s">
        <v>77</v>
      </c>
      <c r="C43" s="20" t="s">
        <v>11</v>
      </c>
      <c r="D43" s="30"/>
      <c r="E43" s="40">
        <v>46332</v>
      </c>
      <c r="F43" s="40">
        <v>46332</v>
      </c>
      <c r="G43" s="20">
        <f>IF(OR(E43="",F43=""),"",IF(F43&lt;E43,"날짜 확인",F43-E43+1))</f>
        <v>1</v>
      </c>
      <c r="H43" s="24">
        <v>1</v>
      </c>
      <c r="I43" s="48"/>
      <c r="J43" s="49"/>
      <c r="K43" s="50"/>
      <c r="L43" s="50"/>
      <c r="M43" s="50"/>
      <c r="N43" s="51"/>
      <c r="O43" s="51"/>
      <c r="P43" s="51"/>
      <c r="Q43" s="51"/>
      <c r="R43" s="51"/>
      <c r="S43" s="50"/>
      <c r="T43" s="50"/>
      <c r="U43" s="50"/>
      <c r="V43" s="50"/>
      <c r="W43" s="50"/>
      <c r="X43" s="51"/>
      <c r="Y43" s="51"/>
      <c r="Z43" s="51"/>
      <c r="AA43" s="51"/>
      <c r="AB43" s="51"/>
      <c r="AC43" s="50"/>
      <c r="AD43" s="50"/>
      <c r="AE43" s="50"/>
      <c r="AF43" s="50"/>
      <c r="AG43" s="50"/>
      <c r="AH43" s="52"/>
      <c r="AI43" s="52"/>
      <c r="AJ43" s="52"/>
      <c r="AK43" s="52"/>
      <c r="AL43" s="52"/>
      <c r="AM43" s="53"/>
      <c r="AN43" s="53"/>
      <c r="AO43" s="53"/>
      <c r="AP43" s="53"/>
      <c r="AQ43" s="56"/>
      <c r="AR43" s="23"/>
      <c r="AS43" s="23"/>
      <c r="AT43" s="23"/>
      <c r="AU43" s="23"/>
      <c r="AV43" s="23"/>
    </row>
    <row r="44" spans="1:48" ht="15.75" customHeight="1"/>
    <row r="45" spans="1:48" ht="15.75" customHeight="1"/>
    <row r="46" spans="1:48" ht="15.75" customHeight="1"/>
    <row r="47" spans="1:48" ht="15.75" customHeight="1"/>
    <row r="48" spans="1: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7">
    <mergeCell ref="I5:AQ5"/>
    <mergeCell ref="I6:AH6"/>
    <mergeCell ref="AI6:AN6"/>
    <mergeCell ref="AE1:AG1"/>
    <mergeCell ref="AE2:AG2"/>
    <mergeCell ref="AJ1:AM1"/>
    <mergeCell ref="AJ2:AQ2"/>
    <mergeCell ref="A4:H4"/>
    <mergeCell ref="I1:S1"/>
    <mergeCell ref="I2:S2"/>
    <mergeCell ref="U1:W1"/>
    <mergeCell ref="Z1:AB1"/>
    <mergeCell ref="Z2:AB2"/>
    <mergeCell ref="A1:B1"/>
    <mergeCell ref="F2:H2"/>
    <mergeCell ref="A2:B2"/>
    <mergeCell ref="F1:H1"/>
    <mergeCell ref="C1:E1"/>
    <mergeCell ref="C2:E2"/>
    <mergeCell ref="F5:F7"/>
    <mergeCell ref="G5:G7"/>
    <mergeCell ref="H5:H7"/>
    <mergeCell ref="A5:A7"/>
    <mergeCell ref="B5:B7"/>
    <mergeCell ref="C5:C7"/>
    <mergeCell ref="D5:D7"/>
    <mergeCell ref="E5:E7"/>
  </mergeCells>
  <phoneticPr fontId="31" type="noConversion"/>
  <conditionalFormatting sqref="E9:F43">
    <cfRule type="expression" dxfId="7" priority="12">
      <formula>AND(ISNUMBER($E9),ISNUMBER($F9),$F9&lt;$E9)</formula>
    </cfRule>
  </conditionalFormatting>
  <conditionalFormatting sqref="H44:H1002 H1:H8">
    <cfRule type="colorScale" priority="3">
      <colorScale>
        <cfvo type="min"/>
        <cfvo type="max"/>
        <color rgb="FFFFFFFF"/>
        <color rgb="FF63C384"/>
      </colorScale>
    </cfRule>
  </conditionalFormatting>
  <conditionalFormatting sqref="I9:AQ43">
    <cfRule type="expression" dxfId="6" priority="13">
      <formula>AND(ISNUMBER($E9),ISNUMBER($F9),ISNUMBER(I$7),$F9&gt;=$E9,$E9&lt;=I$7,$F9&gt;=I$7,$C9="팀원 전체")</formula>
    </cfRule>
    <cfRule type="expression" dxfId="5" priority="14">
      <formula>AND(ISNUMBER($E9),ISNUMBER($F9),ISNUMBER(I$7),$F9&gt;=$E9,$E9&lt;=I$7,$F9&gt;=I$7,$C9="김성준")</formula>
    </cfRule>
    <cfRule type="expression" dxfId="4" priority="15">
      <formula>AND(ISNUMBER($E9),ISNUMBER($F9),ISNUMBER(I$7),$F9&gt;=$E9,$E9&lt;=I$7,$F9&gt;=I$7,$C9="이원석")</formula>
    </cfRule>
    <cfRule type="expression" dxfId="3" priority="16">
      <formula>AND(ISNUMBER($E9),ISNUMBER($F9),ISNUMBER(I$7),$F9&gt;=$E9,$E9&lt;=I$7,$F9&gt;=I$7,$C9="문홍식")</formula>
    </cfRule>
    <cfRule type="expression" dxfId="2" priority="17">
      <formula>AND(ISNUMBER($E9),ISNUMBER($F9),ISNUMBER(I$7),$F9&gt;=$E9,$E9&lt;=I$7,$F9&gt;=I$7,$C9="김태훈")</formula>
    </cfRule>
    <cfRule type="expression" dxfId="1" priority="18">
      <formula>AND(ISNUMBER($E9),ISNUMBER($F9),ISNUMBER(I$7),$F9&gt;=$E9,$E9&lt;=I$7,$F9&gt;=I$7,ISNUMBER(SEARCH(",",$C9)))</formula>
    </cfRule>
    <cfRule type="expression" dxfId="0" priority="19">
      <formula>AND(ISNUMBER($E9),ISNUMBER($F9),ISNUMBER(I$7),$F9&gt;=$E9,$E9&lt;=I$7,$F9&gt;=I$7,NOT(ISNUMBER(SEARCH(",",$C9))),$C9&lt;&gt;"팀원 전체",$C9&lt;&gt;"김성준",$C9&lt;&gt;"이원석",$C9&lt;&gt;"문홍식",$C9&lt;&gt;"김태훈")</formula>
    </cfRule>
  </conditionalFormatting>
  <conditionalFormatting sqref="H9:H43">
    <cfRule type="colorScale" priority="41">
      <colorScale>
        <cfvo type="percent" val="0"/>
        <cfvo type="percent" val="100"/>
        <color rgb="FFF3FDF3"/>
        <color rgb="FF63C384"/>
      </colorScale>
    </cfRule>
  </conditionalFormatting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Win11Pro</cp:lastModifiedBy>
  <dcterms:modified xsi:type="dcterms:W3CDTF">2026-10-12T05:50:08Z</dcterms:modified>
</cp:coreProperties>
</file>