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Default Extension="bin" ContentType="application/vnd.openxmlformats-officedocument.spreadsheetml.printerSettings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f00ca4d21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3211dd4975d04734"/>
  </x:sheets>
  <x:calcPr calcMode="auto" fullCalcOnLoad="1" forceFullCalc="1"/>
</x:workbook>
</file>

<file path=xl/sharedStrings.xml><?xml version="1.0" encoding="utf-8"?>
<x:sst xmlns:x="http://schemas.openxmlformats.org/spreadsheetml/2006/main">
  <x:si>
    <x:t xml:space="preserve">프로젝트 이름</x:t>
  </x:si>
  <x:si>
    <x:t xml:space="preserve">팀원</x:t>
  </x:si>
  <x:si>
    <x:t xml:space="preserve">프로젝트 관리자</x:t>
  </x:si>
  <x:si>
    <x:t xml:space="preserve">프로젝트 기간</x:t>
  </x:si>
  <x:si>
    <x:t xml:space="preserve">WBS 번호</x:t>
  </x:si>
  <x:si>
    <x:t xml:space="preserve">작업 제목</x:t>
  </x:si>
  <x:si>
    <x:t xml:space="preserve">담당자</x:t>
  </x:si>
  <x:si>
    <x:t xml:space="preserve">산출물</x:t>
  </x:si>
  <x:si>
    <x:t xml:space="preserve">시작일</x:t>
  </x:si>
  <x:si>
    <x:t xml:space="preserve">마감일</x:t>
  </x:si>
  <x:si>
    <x:t xml:space="preserve">작업 완료 비율</x:t>
  </x:si>
  <x:si>
    <x:t xml:space="preserve">팀원 전체</x:t>
  </x:si>
  <x:si>
    <x:t xml:space="preserve">1.2.1</x:t>
  </x:si>
  <x:si>
    <x:t xml:space="preserve">노션</x:t>
  </x:si>
  <x:si>
    <x:t xml:space="preserve">1.2.2</x:t>
  </x:si>
  <x:si>
    <x:t xml:space="preserve">PDF 파일</x:t>
  </x:si>
  <x:si>
    <x:t xml:space="preserve">1.2.3</x:t>
  </x:si>
  <x:si>
    <x:t xml:space="preserve">1.2.4</x:t>
  </x:si>
  <x:si>
    <x:t xml:space="preserve">엑셀 파일</x:t>
  </x:si>
  <x:si>
    <x:t xml:space="preserve">1.2.5</x:t>
  </x:si>
  <x:si>
    <x:t xml:space="preserve">1.2.6</x:t>
  </x:si>
  <x:si>
    <x:t xml:space="preserve">1.2.7</x:t>
  </x:si>
  <x:si>
    <x:t xml:space="preserve">1.2.8</x:t>
  </x:si>
  <x:si>
    <x:t xml:space="preserve">PPT</x:t>
  </x:si>
  <x:si>
    <x:t xml:space="preserve">2.1.1</x:t>
  </x:si>
  <x:si>
    <x:t xml:space="preserve">2.1.2</x:t>
  </x:si>
  <x:si>
    <x:t xml:space="preserve">3.1.1</x:t>
  </x:si>
  <x:si>
    <x:t xml:space="preserve">3.1.2</x:t>
  </x:si>
  <x:si>
    <x:t xml:space="preserve">Python</x:t>
  </x:si>
  <x:si>
    <x:t xml:space="preserve">6.1.1</x:t>
  </x:si>
  <x:si>
    <x:t xml:space="preserve">6.1.2</x:t>
  </x:si>
</x:sst>
</file>

<file path=xl/styles.xml><?xml version="1.0" encoding="utf-8"?>
<x:styleSheet xmlns:x="http://schemas.openxmlformats.org/spreadsheetml/2006/main">
  <x:numFmts count="5">
    <x:numFmt numFmtId="176" formatCode="yy&quot;년 &quot;m&quot;월 &quot;d&quot;일&quot;"/>
    <x:numFmt numFmtId="177" formatCode="&quot;$&quot;#,##0.00"/>
    <x:numFmt numFmtId="200" formatCode="yyyy-mm-dd"/>
    <x:numFmt numFmtId="201" formatCode="0&quot;일&quot;"/>
    <x:numFmt numFmtId="202" formatCode="d"/>
  </x:numFmts>
  <x:fonts count="40">
    <x:font>
      <x:sz val="10"/>
      <x:color rgb="FF000000"/>
      <x:name val="Calibri"/>
      <x:scheme val="minor"/>
    </x:font>
    <x:font>
      <x:b/>
      <x:sz val="10"/>
      <x:color rgb="FF666666"/>
      <x:name val="Malgun Gothic"/>
      <x:family val="3"/>
    </x:font>
    <x:font>
      <x:sz val="10"/>
      <x:name val="Calibri"/>
    </x:font>
    <x:font>
      <x:sz val="10"/>
      <x:color rgb="FF999999"/>
      <x:name val="Malgun Gothic"/>
      <x:family val="3"/>
    </x:font>
    <x:font>
      <x:sz val="11"/>
      <x:color rgb="FF000000"/>
      <x:name val="Malgun Gothic"/>
      <x:family val="3"/>
    </x:font>
    <x:font>
      <x:sz val="10"/>
      <x:color rgb="FF000000"/>
      <x:name val="Malgun Gothic"/>
      <x:family val="3"/>
    </x:font>
    <x:font>
      <x:b/>
      <x:sz val="10"/>
      <x:color rgb="FF7F7F7F"/>
      <x:name val="Malgun Gothic"/>
      <x:family val="3"/>
    </x:font>
    <x:font>
      <x:sz val="11"/>
      <x:color rgb="FFFFFFFF"/>
      <x:name val="Malgun Gothic"/>
      <x:family val="3"/>
    </x:font>
    <x:font>
      <x:sz val="11"/>
      <x:color rgb="FF7F7F7F"/>
      <x:name val="Malgun Gothic"/>
      <x:family val="3"/>
    </x:font>
    <x:font>
      <x:b/>
      <x:sz val="10"/>
      <x:color rgb="FF7F7F7F"/>
      <x:name val="Arial"/>
    </x:font>
    <x:font>
      <x:sz val="11"/>
      <x:color rgb="FF000000"/>
      <x:name val="Poppins"/>
    </x:font>
    <x:font>
      <x:sz val="11"/>
      <x:color rgb="FF000000"/>
      <x:name val="Roboto"/>
    </x:font>
    <x:font>
      <x:b/>
      <x:sz val="8"/>
      <x:color rgb="FF000000"/>
      <x:name val="Malgun Gothic"/>
      <x:family val="3"/>
    </x:font>
    <x:font>
      <x:b/>
      <x:sz val="9"/>
      <x:color rgb="FFFFFFFF"/>
      <x:name val="Malgun Gothic"/>
      <x:family val="3"/>
    </x:font>
    <x:font>
      <x:b/>
      <x:sz val="8"/>
      <x:color rgb="FF000000"/>
      <x:name val="Roboto"/>
    </x:font>
    <x:font>
      <x:b/>
      <x:sz val="9"/>
      <x:color rgb="FF000000"/>
      <x:name val="Malgun Gothic"/>
      <x:family val="3"/>
    </x:font>
    <x:font>
      <x:b/>
      <x:sz val="9"/>
      <x:color rgb="FFFF0000"/>
      <x:name val="Malgun Gothic"/>
      <x:family val="3"/>
    </x:font>
    <x:font>
      <x:sz val="9"/>
      <x:color rgb="FF000000"/>
      <x:name val="Roboto"/>
    </x:font>
    <x:font>
      <x:b/>
      <x:sz val="11"/>
      <x:color rgb="FF000000"/>
      <x:name val="Malgun Gothic"/>
      <x:family val="3"/>
    </x:font>
    <x:font>
      <x:sz val="10"/>
      <x:color rgb="FF434343"/>
      <x:name val="Malgun Gothic"/>
      <x:family val="3"/>
    </x:font>
    <x:font>
      <x:b/>
      <x:sz val="10"/>
      <x:color rgb="FF000000"/>
      <x:name val="Malgun Gothic"/>
      <x:family val="3"/>
    </x:font>
    <x:font>
      <x:sz val="10"/>
      <x:color rgb="FF000000"/>
      <x:name val="Roboto"/>
    </x:font>
    <x:font>
      <x:sz val="10"/>
      <x:color theme="1"/>
      <x:name val="Malgun Gothic"/>
      <x:family val="3"/>
    </x:font>
    <x:font>
      <x:b/>
      <x:sz val="10"/>
      <x:color rgb="FF434343"/>
      <x:name val="Malgun Gothic"/>
      <x:family val="3"/>
    </x:font>
    <x:font>
      <x:b/>
      <x:sz val="10"/>
      <x:color rgb="FFFF0000"/>
      <x:name val="Malgun Gothic"/>
      <x:family val="3"/>
    </x:font>
    <x:font>
      <x:sz val="10"/>
      <x:color theme="1"/>
      <x:name val="Calibri"/>
      <x:family val="2"/>
    </x:font>
    <x:font>
      <x:sz val="11"/>
      <x:color rgb="FF434343"/>
      <x:name val="Malgun Gothic"/>
      <x:family val="3"/>
    </x:font>
    <x:font>
      <x:b/>
      <x:sz val="11"/>
      <x:color theme="1"/>
      <x:name val="Malgun Gothic"/>
      <x:family val="3"/>
    </x:font>
    <x:font>
      <x:sz val="10"/>
      <x:color theme="1"/>
      <x:name val="Malgun Gothic"/>
      <x:family val="3"/>
    </x:font>
    <x:font>
      <x:b/>
      <x:sz val="10"/>
      <x:color rgb="FF7F7F7F"/>
      <x:name val="맑은 고딕"/>
      <x:family val="3"/>
    </x:font>
    <x:font>
      <x:b/>
      <x:sz val="11"/>
      <x:color theme="1"/>
      <x:name val="맑은 고딕"/>
      <x:family val="3"/>
    </x:font>
    <x:font>
      <x:sz val="8"/>
      <x:name val="Calibri"/>
      <x:family val="3"/>
      <x:scheme val="minor"/>
    </x:font>
    <x:font>
      <x:sz val="9"/>
      <x:color rgb="FF666666"/>
      <x:name val="Malgun Gothic"/>
      <x:scheme val="minor"/>
    </x:font>
    <x:font>
      <x:sz val="8"/>
      <x:color rgb="FF666666"/>
      <x:name val="Malgun Gothic"/>
      <x:scheme val="minor"/>
    </x:font>
    <x:font>
      <x:b/>
      <x:sz val="9"/>
      <x:color rgb="FF434343"/>
      <x:name val="Malgun Gothic"/>
      <x:family val="3"/>
    </x:font>
    <x:font>
      <x:sz val="9"/>
      <x:color rgb="FF434343"/>
      <x:name val="Malgun Gothic"/>
      <x:family val="3"/>
    </x:font>
    <x:font>
      <x:sz val="9"/>
      <x:color rgb="FF666666"/>
      <x:name val="Malgun Gothic"/>
      <x:family val="3"/>
    </x:font>
    <x:font>
      <x:b/>
      <x:sz val="10"/>
      <x:color rgb="FFFFFFFF"/>
      <x:name val="Malgun Gothic"/>
      <x:family val="3"/>
    </x:font>
    <x:font>
      <x:b/>
      <x:sz val="10"/>
      <x:color rgb="FFFFFFFF"/>
      <x:name val="Malgun Gothic"/>
    </x:font>
    <x:font>
      <x:b/>
      <x:sz val="9"/>
      <x:color rgb="FFFFFFFF"/>
      <x:name val="Malgun Gothic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48DD4"/>
      </x:patternFill>
    </x:fill>
    <x:fill>
      <x:patternFill patternType="solid">
        <x:fgColor rgb="FFD99594"/>
      </x:patternFill>
    </x:fill>
    <x:fill>
      <x:patternFill patternType="solid">
        <x:fgColor rgb="FFB2A1C7"/>
      </x:patternFill>
    </x:fill>
    <x:fill>
      <x:patternFill patternType="solid">
        <x:fgColor rgb="FFB6D7A8"/>
      </x:patternFill>
    </x:fill>
    <x:fill>
      <x:patternFill patternType="solid">
        <x:fgColor rgb="FFA2C4C9"/>
      </x:patternFill>
    </x:fill>
    <x:fill>
      <x:patternFill patternType="solid">
        <x:fgColor rgb="FF632423"/>
      </x:patternFill>
    </x:fill>
    <x:fill>
      <x:patternFill patternType="solid">
        <x:fgColor rgb="FF3F3151"/>
      </x:patternFill>
    </x:fill>
    <x:fill>
      <x:patternFill patternType="solid">
        <x:fgColor rgb="FF6AA84F"/>
      </x:patternFill>
    </x:fill>
    <x:fill>
      <x:patternFill patternType="solid">
        <x:fgColor rgb="FFEFEFEF"/>
      </x:patternFill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rgb="FF2F75B5"/>
      </x:patternFill>
    </x:fill>
    <x:fill>
      <x:patternFill patternType="solid">
        <x:fgColor rgb="FFBDD7EE"/>
      </x:patternFill>
    </x:fill>
    <x:fill>
      <x:patternFill patternType="solid">
        <x:fgColor rgb="FFD0E0E3"/>
      </x:patternFill>
    </x:fill>
    <x:fill>
      <x:patternFill patternType="solid">
        <x:fgColor rgb="FFCCCCCC"/>
      </x:patternFill>
    </x:fill>
    <x:fill>
      <x:patternFill patternType="solid">
        <x:fgColor rgb="FFDDEBF7"/>
      </x:patternFill>
    </x:fill>
    <x:fill>
      <x:patternFill patternType="solid">
        <x:fgColor rgb="FFEDEDED"/>
      </x:patternFill>
    </x:fill>
    <x:fill>
      <x:patternFill patternType="solid">
        <x:fgColor rgb="FF73C79E"/>
      </x:patternFill>
    </x:fill>
    <x:fill>
      <x:patternFill patternType="solid">
        <x:fgColor rgb="FF548DD4"/>
      </x:patternFill>
    </x:fill>
    <x:fill>
      <x:patternFill patternType="solid">
        <x:fgColor rgb="FFD99594"/>
      </x:patternFill>
    </x:fill>
    <x:fill>
      <x:patternFill patternType="solid">
        <x:fgColor rgb="FF632423"/>
      </x:patternFill>
    </x:fill>
    <x:fill>
      <x:patternFill patternType="solid">
        <x:fgColor rgb="FFB2A1C7"/>
      </x:patternFill>
    </x:fill>
    <x:fill>
      <x:patternFill patternType="solid">
        <x:fgColor rgb="FF3F3151"/>
      </x:patternFill>
    </x:fill>
    <x:fill>
      <x:patternFill patternType="solid">
        <x:fgColor rgb="FFB6D7A8"/>
      </x:patternFill>
    </x:fill>
    <x:fill>
      <x:patternFill patternType="solid">
        <x:fgColor rgb="FF0B5394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</x:fills>
  <x:borders count="33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/>
      <x:right/>
      <x:top/>
      <x:bottom style="thin">
        <x:color rgb="FFD9D9D9"/>
      </x:bottom>
      <x:diagonal/>
    </x:border>
    <x:border>
      <x:left/>
      <x:right/>
      <x:top/>
      <x:bottom style="thin">
        <x:color rgb="FFD8D8D8"/>
      </x:bottom>
      <x:diagonal/>
    </x:border>
    <x:border>
      <x:left/>
      <x:right/>
      <x:top/>
      <x:bottom style="thin">
        <x:color rgb="FFD8D8D8"/>
      </x:bottom>
      <x:diagonal/>
    </x:border>
    <x:border>
      <x:left/>
      <x:right/>
      <x:top/>
      <x:bottom style="thin">
        <x:color rgb="FFD8D8D8"/>
      </x:bottom>
      <x:diagonal/>
    </x:border>
    <x:border>
      <x:left/>
      <x:right/>
      <x:top/>
      <x:bottom style="thin">
        <x:color rgb="FFCCCCCC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8D8D8"/>
      </x:top>
      <x:bottom style="thin">
        <x:color rgb="FFD8D8D8"/>
      </x:bottom>
      <x:diagonal/>
    </x:border>
    <x:border>
      <x:left/>
      <x:right/>
      <x:top style="thin">
        <x:color rgb="FFD8D8D8"/>
      </x:top>
      <x:bottom style="thin">
        <x:color rgb="FFD8D8D8"/>
      </x:bottom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B7B7B7"/>
      </x:left>
      <x:right/>
      <x:top/>
      <x:bottom style="thin">
        <x:color rgb="FFB7B7B7"/>
      </x:bottom>
      <x:diagonal/>
    </x:border>
    <x:border>
      <x:left/>
      <x:right/>
      <x:top/>
      <x:bottom style="thin">
        <x:color rgb="FFB7B7B7"/>
      </x:bottom>
      <x:diagonal/>
    </x:border>
    <x:border>
      <x:left/>
      <x:right/>
      <x:top/>
      <x:bottom style="thin">
        <x:color rgb="FFB7B7B7"/>
      </x:bottom>
      <x:diagonal/>
    </x:border>
    <x:border>
      <x:left/>
      <x:right/>
      <x:top/>
      <x:bottom/>
      <x:diagonal/>
    </x:border>
    <x:border>
      <x:left style="thin">
        <x:color rgb="FFB7B7B7"/>
      </x:left>
      <x:right/>
      <x:top style="thin">
        <x:color rgb="FFB7B7B7"/>
      </x:top>
      <x:bottom style="thin">
        <x:color rgb="FFB7B7B7"/>
      </x:bottom>
      <x:diagonal/>
    </x:border>
    <x:border>
      <x:left/>
      <x:right/>
      <x:top style="thin">
        <x:color rgb="FFB7B7B7"/>
      </x:top>
      <x:bottom style="thin">
        <x:color rgb="FFB7B7B7"/>
      </x:bottom>
      <x:diagonal/>
    </x:border>
    <x:border>
      <x:left/>
      <x:right style="thin">
        <x:color rgb="FFB7B7B7"/>
      </x:right>
      <x:top style="thin">
        <x:color rgb="FFB7B7B7"/>
      </x:top>
      <x:bottom style="thin">
        <x:color rgb="FFB7B7B7"/>
      </x:bottom>
      <x:diagonal/>
    </x:border>
    <x:border>
      <x:left/>
      <x:right/>
      <x:top/>
      <x:bottom/>
      <x:diagonal/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/>
      <x:diagonal/>
    </x:border>
    <x:border>
      <x:left/>
      <x:right/>
      <x:top/>
      <x:bottom style="thin">
        <x:color rgb="FFCCCCCC"/>
      </x:bottom>
      <x:diagonal/>
    </x:border>
    <x:border>
      <x:left/>
      <x:right/>
      <x:top/>
      <x:bottom style="thin">
        <x:color rgb="FFB7B7B7"/>
      </x:bottom>
      <x:diagonal/>
    </x:border>
    <x:border>
      <x:left style="thin">
        <x:color rgb="FFB7B7B7"/>
      </x:left>
      <x:right style="hair">
        <x:color rgb="FFB7B7B7"/>
      </x:right>
      <x:top/>
      <x:bottom style="hair">
        <x:color rgb="FFB7B7B7"/>
      </x:bottom>
      <x:diagonal/>
    </x:border>
    <x:border>
      <x:left style="hair">
        <x:color rgb="FFB7B7B7"/>
      </x:left>
      <x:right style="hair">
        <x:color rgb="FFB7B7B7"/>
      </x:right>
      <x:top/>
      <x:bottom style="hair">
        <x:color rgb="FFB7B7B7"/>
      </x:bottom>
      <x:diagonal/>
    </x:border>
    <x:border>
      <x:left style="hair">
        <x:color rgb="FFB7B7B7"/>
      </x:left>
      <x:right style="hair">
        <x:color rgb="FFB7B7B7"/>
      </x:right>
      <x:top/>
      <x:bottom style="hair">
        <x:color rgb="FFB7B7B7"/>
      </x:bottom>
      <x:diagonal/>
    </x:border>
    <x:border>
      <x:left style="hair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  <x:diagonal/>
    </x:border>
    <x:border>
      <x:left style="thin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  <x:diagonal/>
    </x:border>
    <x:border>
      <x:left/>
      <x:right style="hair">
        <x:color rgb="FFB7B7B7"/>
      </x:right>
      <x:top style="hair">
        <x:color rgb="FFB7B7B7"/>
      </x:top>
      <x:bottom style="hair">
        <x:color rgb="FFB7B7B7"/>
      </x:bottom>
      <x:diagonal/>
    </x:border>
    <x:border>
      <x:left style="thin">
        <x:color rgb="FFB7B7B7"/>
      </x:left>
      <x:right style="hair">
        <x:color rgb="FFB7B7B7"/>
      </x:right>
      <x:top style="hair">
        <x:color rgb="FFB7B7B7"/>
      </x:top>
      <x:bottom/>
      <x:diagonal/>
    </x:border>
    <x:border>
      <x:left style="hair">
        <x:color rgb="FFB7B7B7"/>
      </x:left>
      <x:right style="hair">
        <x:color rgb="FFB7B7B7"/>
      </x:right>
      <x:top style="hair">
        <x:color rgb="FFB7B7B7"/>
      </x:top>
      <x:bottom/>
      <x:diagonal/>
    </x:border>
    <x:border>
      <x:left/>
      <x:right/>
      <x:top/>
      <x:bottom style="hair">
        <x:color rgb="FFB7B7B7"/>
      </x:bottom>
      <x:diagonal/>
    </x:border>
    <x:border>
      <x:left/>
      <x:right/>
      <x:top/>
      <x:bottom style="thin">
        <x:color rgb="FFB7B7B7"/>
      </x:bottom>
      <x:diagonal/>
    </x:border>
  </x:borders>
  <x:cellStyleXfs count="1">
    <x:xf numFmtId="0" fontId="0" fillId="0" borderId="0"/>
  </x:cellStyleXfs>
  <x:cellXfs count="177">
    <x:xf numFmtId="0" fontId="0" fillId="0" borderId="0" xfId="0" applyFont="1" applyAlignment="1"/>
    <x:xf numFmtId="0" fontId="3" fillId="2" borderId="2" xfId="0" applyFont="1" applyFill="1" applyBorder="1" applyAlignment="1">
      <x:alignment vertical="center"/>
    </x:xf>
    <x:xf numFmtId="0" fontId="4" fillId="2" borderId="2" xfId="0" applyFont="1" applyFill="1" applyBorder="1" applyAlignment="1">
      <x:alignment vertical="center"/>
    </x:xf>
    <x:xf numFmtId="0" fontId="5" fillId="0" borderId="0" xfId="0" applyFont="1"/>
    <x:xf numFmtId="0" fontId="4" fillId="0" borderId="1" xfId="0" applyFont="1" applyBorder="1" applyAlignment="1">
      <x:alignment vertical="center"/>
    </x:xf>
    <x:xf numFmtId="0" fontId="5" fillId="3" borderId="4" xfId="0" applyFont="1" applyFill="1" applyBorder="1"/>
    <x:xf numFmtId="0" fontId="5" fillId="4" borderId="4" xfId="0" applyFont="1" applyFill="1" applyBorder="1"/>
    <x:xf numFmtId="0" fontId="7" fillId="0" borderId="0" xfId="0" applyFont="1" applyAlignment="1">
      <x:alignment vertical="center"/>
    </x:xf>
    <x:xf numFmtId="0" fontId="8" fillId="5" borderId="4" xfId="0" applyFont="1" applyFill="1" applyBorder="1" applyAlignment="1">
      <x:alignment vertical="center"/>
    </x:xf>
    <x:xf numFmtId="0" fontId="4" fillId="0" borderId="0" xfId="0" applyFont="1" applyAlignment="1">
      <x:alignment vertical="center"/>
    </x:xf>
    <x:xf numFmtId="0" fontId="5" fillId="6" borderId="4" xfId="0" applyFont="1" applyFill="1" applyBorder="1"/>
    <x:xf numFmtId="0" fontId="10" fillId="7" borderId="0" xfId="0" applyFont="1" applyFill="1" applyAlignment="1">
      <x:alignment vertical="center"/>
    </x:xf>
    <x:xf numFmtId="0" fontId="10" fillId="0" borderId="0" xfId="0" applyFont="1" applyAlignment="1">
      <x:alignment vertical="center"/>
    </x:xf>
    <x:xf numFmtId="0" fontId="3" fillId="0" borderId="1" xfId="0" applyFont="1" applyBorder="1" applyAlignment="1">
      <x:alignment vertical="center"/>
    </x:xf>
    <x:xf numFmtId="0" fontId="5" fillId="0" borderId="3" xfId="0" applyFont="1" applyBorder="1"/>
    <x:xf numFmtId="0" fontId="5" fillId="8" borderId="9" xfId="0" applyFont="1" applyFill="1" applyBorder="1"/>
    <x:xf numFmtId="0" fontId="4" fillId="9" borderId="9" xfId="0" applyFont="1" applyFill="1" applyBorder="1" applyAlignment="1">
      <x:alignment vertical="center"/>
    </x:xf>
    <x:xf numFmtId="0" fontId="5" fillId="10" borderId="4" xfId="0" applyFont="1" applyFill="1" applyBorder="1"/>
    <x:xf numFmtId="0" fontId="1" fillId="0" borderId="0" xfId="0" applyFont="1" applyAlignment="1">
      <x:alignment horizontal="center" vertical="center"/>
    </x:xf>
    <x:xf numFmtId="0" fontId="5" fillId="0" borderId="0" xfId="0" applyFont="1" applyAlignment="1">
      <x:alignment horizontal="center"/>
    </x:xf>
    <x:xf numFmtId="0" fontId="3" fillId="0" borderId="0" xfId="0" applyFont="1" applyAlignment="1">
      <x:alignment vertical="center"/>
    </x:xf>
    <x:xf numFmtId="176" fontId="3" fillId="0" borderId="0" xfId="0" applyNumberFormat="1" applyFont="1" applyAlignment="1">
      <x:alignment horizontal="left" vertical="center"/>
    </x:xf>
    <x:xf numFmtId="0" fontId="5" fillId="0" borderId="0" xfId="0" applyFont="1" applyAlignment="1">
      <x:alignment horizontal="left"/>
    </x:xf>
    <x:xf numFmtId="0" fontId="3" fillId="0" borderId="0" xfId="0" applyFont="1"/>
    <x:xf numFmtId="0" fontId="4" fillId="2" borderId="10" xfId="0" applyFont="1" applyFill="1" applyBorder="1" applyAlignment="1">
      <x:alignment vertical="center"/>
    </x:xf>
    <x:xf numFmtId="0" fontId="4" fillId="2" borderId="10" xfId="0" applyFont="1" applyFill="1" applyBorder="1" applyAlignment="1">
      <x:alignment horizontal="center" vertical="center"/>
    </x:xf>
    <x:xf numFmtId="0" fontId="11" fillId="0" borderId="0" xfId="0" applyFont="1" applyAlignment="1">
      <x:alignment vertical="center"/>
    </x:xf>
    <x:xf numFmtId="0" fontId="14" fillId="0" borderId="0" xfId="0" applyFont="1" applyAlignment="1">
      <x:alignment vertical="center"/>
    </x:xf>
    <x:xf numFmtId="0" fontId="15" fillId="15" borderId="20" xfId="0" applyFont="1" applyFill="1" applyBorder="1" applyAlignment="1">
      <x:alignment horizontal="center" vertical="center"/>
    </x:xf>
    <x:xf numFmtId="0" fontId="16" fillId="15" borderId="20" xfId="0" applyFont="1" applyFill="1" applyBorder="1" applyAlignment="1">
      <x:alignment horizontal="center" vertical="center"/>
    </x:xf>
    <x:xf numFmtId="0" fontId="15" fillId="16" borderId="20" xfId="0" applyFont="1" applyFill="1" applyBorder="1" applyAlignment="1">
      <x:alignment horizontal="center" vertical="center"/>
    </x:xf>
    <x:xf numFmtId="0" fontId="16" fillId="16" borderId="20" xfId="0" applyFont="1" applyFill="1" applyBorder="1" applyAlignment="1">
      <x:alignment horizontal="center" vertical="center"/>
    </x:xf>
    <x:xf numFmtId="0" fontId="17" fillId="0" borderId="0" xfId="0" applyFont="1" applyAlignment="1">
      <x:alignment vertical="center"/>
    </x:xf>
    <x:xf numFmtId="0" fontId="18" fillId="17" borderId="21" xfId="0" applyFont="1" applyFill="1" applyBorder="1" applyAlignment="1">
      <x:alignment horizontal="left" vertical="center" wrapText="1"/>
    </x:xf>
    <x:xf numFmtId="0" fontId="18" fillId="17" borderId="21" xfId="0" applyFont="1" applyFill="1" applyBorder="1" applyAlignment="1">
      <x:alignment vertical="center"/>
    </x:xf>
    <x:xf numFmtId="0" fontId="18" fillId="17" borderId="21" xfId="0" applyFont="1" applyFill="1" applyBorder="1" applyAlignment="1">
      <x:alignment vertical="center" wrapText="1"/>
    </x:xf>
    <x:xf numFmtId="0" fontId="18" fillId="17" borderId="10" xfId="0" applyFont="1" applyFill="1" applyBorder="1" applyAlignment="1">
      <x:alignment horizontal="center" vertical="center"/>
    </x:xf>
    <x:xf numFmtId="177" fontId="18" fillId="17" borderId="10" xfId="0" applyNumberFormat="1" applyFont="1" applyFill="1" applyBorder="1" applyAlignment="1">
      <x:alignment horizontal="center" vertical="center"/>
    </x:xf>
    <x:xf numFmtId="3" fontId="18" fillId="17" borderId="10" xfId="0" applyNumberFormat="1" applyFont="1" applyFill="1" applyBorder="1" applyAlignment="1">
      <x:alignment horizontal="center" vertical="center"/>
    </x:xf>
    <x:xf numFmtId="0" fontId="19" fillId="0" borderId="22" xfId="0" applyFont="1" applyBorder="1" applyAlignment="1">
      <x:alignment horizontal="center" vertical="center" wrapText="1"/>
    </x:xf>
    <x:xf numFmtId="0" fontId="5" fillId="0" borderId="22" xfId="0" applyFont="1" applyBorder="1" applyAlignment="1">
      <x:alignment horizontal="center" vertical="center" wrapText="1"/>
    </x:xf>
    <x:xf numFmtId="176" fontId="19" fillId="0" borderId="22" xfId="0" applyNumberFormat="1" applyFont="1" applyBorder="1" applyAlignment="1">
      <x:alignment horizontal="left" vertical="center" wrapText="1"/>
    </x:xf>
    <x:xf numFmtId="9" fontId="19" fillId="0" borderId="22" xfId="0" applyNumberFormat="1" applyFont="1" applyBorder="1" applyAlignment="1">
      <x:alignment horizontal="center" vertical="center" wrapText="1"/>
    </x:xf>
    <x:xf numFmtId="9" fontId="20" fillId="0" borderId="23" xfId="0" applyNumberFormat="1" applyFont="1" applyBorder="1" applyAlignment="1">
      <x:alignment horizontal="center" vertical="center"/>
    </x:xf>
    <x:xf numFmtId="177" fontId="20" fillId="0" borderId="24" xfId="0" applyNumberFormat="1" applyFont="1" applyBorder="1" applyAlignment="1">
      <x:alignment horizontal="center" vertical="center"/>
    </x:xf>
    <x:xf numFmtId="0" fontId="20" fillId="3" borderId="25" xfId="0" applyFont="1" applyFill="1" applyBorder="1" applyAlignment="1">
      <x:alignment horizontal="center" vertical="center"/>
    </x:xf>
    <x:xf numFmtId="0" fontId="20" fillId="0" borderId="24" xfId="0" applyFont="1" applyBorder="1" applyAlignment="1">
      <x:alignment horizontal="center" vertical="center"/>
    </x:xf>
    <x:xf numFmtId="0" fontId="20" fillId="18" borderId="26" xfId="0" applyFont="1" applyFill="1" applyBorder="1" applyAlignment="1">
      <x:alignment horizontal="center" vertical="center"/>
    </x:xf>
    <x:xf numFmtId="0" fontId="20" fillId="19" borderId="26" xfId="0" applyFont="1" applyFill="1" applyBorder="1" applyAlignment="1">
      <x:alignment horizontal="center" vertical="center"/>
    </x:xf>
    <x:xf numFmtId="0" fontId="21" fillId="0" borderId="0" xfId="0" applyFont="1" applyAlignment="1">
      <x:alignment vertical="center"/>
    </x:xf>
    <x:xf numFmtId="176" fontId="22" fillId="0" borderId="22" xfId="0" applyNumberFormat="1" applyFont="1" applyBorder="1" applyAlignment="1">
      <x:alignment horizontal="left" vertical="center" wrapText="1"/>
    </x:xf>
    <x:xf numFmtId="9" fontId="19" fillId="0" borderId="22" xfId="0" applyNumberFormat="1" applyFont="1" applyBorder="1" applyAlignment="1">
      <x:alignment horizontal="center" vertical="center" wrapText="1"/>
    </x:xf>
    <x:xf numFmtId="9" fontId="20" fillId="0" borderId="27" xfId="0" applyNumberFormat="1" applyFont="1" applyBorder="1" applyAlignment="1">
      <x:alignment horizontal="center" vertical="center"/>
    </x:xf>
    <x:xf numFmtId="177" fontId="20" fillId="0" borderId="26" xfId="0" applyNumberFormat="1" applyFont="1" applyBorder="1" applyAlignment="1">
      <x:alignment horizontal="center" vertical="center"/>
    </x:xf>
    <x:xf numFmtId="0" fontId="20" fillId="0" borderId="26" xfId="0" applyFont="1" applyBorder="1" applyAlignment="1">
      <x:alignment horizontal="center" vertical="center"/>
    </x:xf>
    <x:xf numFmtId="0" fontId="19" fillId="0" borderId="22" xfId="0" applyFont="1" applyBorder="1" applyAlignment="1">
      <x:alignment horizontal="right" vertical="center" wrapText="1"/>
    </x:xf>
    <x:xf numFmtId="0" fontId="19" fillId="0" borderId="22" xfId="0" applyFont="1" applyBorder="1" applyAlignment="1">
      <x:alignment horizontal="right" vertical="center" wrapText="1"/>
    </x:xf>
    <x:xf numFmtId="9" fontId="23" fillId="0" borderId="27" xfId="0" applyNumberFormat="1" applyFont="1" applyBorder="1" applyAlignment="1">
      <x:alignment horizontal="center" vertical="center"/>
    </x:xf>
    <x:xf numFmtId="177" fontId="20" fillId="0" borderId="28" xfId="0" applyNumberFormat="1" applyFont="1" applyBorder="1" applyAlignment="1">
      <x:alignment horizontal="center" vertical="center"/>
    </x:xf>
    <x:xf numFmtId="0" fontId="19" fillId="0" borderId="22" xfId="0" applyFont="1" applyBorder="1" applyAlignment="1">
      <x:alignment horizontal="center" vertical="center" wrapText="1"/>
    </x:xf>
    <x:xf numFmtId="0" fontId="5" fillId="0" borderId="22" xfId="0" applyFont="1" applyBorder="1" applyAlignment="1">
      <x:alignment horizontal="center" vertical="center" wrapText="1"/>
    </x:xf>
    <x:xf numFmtId="176" fontId="5" fillId="0" borderId="22" xfId="0" applyNumberFormat="1" applyFont="1" applyBorder="1" applyAlignment="1">
      <x:alignment horizontal="left" vertical="center" wrapText="1"/>
    </x:xf>
    <x:xf numFmtId="9" fontId="20" fillId="0" borderId="29" xfId="0" applyNumberFormat="1" applyFont="1" applyBorder="1" applyAlignment="1">
      <x:alignment horizontal="center" vertical="center"/>
    </x:xf>
    <x:xf numFmtId="0" fontId="24" fillId="0" borderId="26" xfId="0" applyFont="1" applyBorder="1" applyAlignment="1">
      <x:alignment horizontal="center" vertical="center"/>
    </x:xf>
    <x:xf numFmtId="0" fontId="19" fillId="0" borderId="0" xfId="0" applyFont="1" applyAlignment="1">
      <x:alignment horizontal="right" vertical="center" wrapText="1"/>
    </x:xf>
    <x:xf numFmtId="0" fontId="19" fillId="0" borderId="0" xfId="0" applyFont="1" applyAlignment="1">
      <x:alignment horizontal="right" vertical="center" wrapText="1"/>
    </x:xf>
    <x:xf numFmtId="0" fontId="20" fillId="18" borderId="30" xfId="0" applyFont="1" applyFill="1" applyBorder="1" applyAlignment="1">
      <x:alignment horizontal="center" vertical="center"/>
    </x:xf>
    <x:xf numFmtId="0" fontId="18" fillId="17" borderId="21" xfId="0" applyFont="1" applyFill="1" applyBorder="1" applyAlignment="1">
      <x:alignment vertical="center"/>
    </x:xf>
    <x:xf numFmtId="0" fontId="12" fillId="0" borderId="22" xfId="0" applyFont="1" applyBorder="1" applyAlignment="1">
      <x:alignment horizontal="center" vertical="center" wrapText="1"/>
    </x:xf>
    <x:xf numFmtId="176" fontId="19" fillId="0" borderId="22" xfId="0" applyNumberFormat="1" applyFont="1" applyBorder="1" applyAlignment="1">
      <x:alignment horizontal="left" vertical="center" wrapText="1"/>
    </x:xf>
    <x:xf numFmtId="0" fontId="5" fillId="0" borderId="26" xfId="0" applyFont="1" applyBorder="1"/>
    <x:xf numFmtId="0" fontId="5" fillId="0" borderId="28" xfId="0" applyFont="1" applyBorder="1"/>
    <x:xf numFmtId="0" fontId="18" fillId="17" borderId="21" xfId="0" applyFont="1" applyFill="1" applyBorder="1" applyAlignment="1">
      <x:alignment horizontal="left" vertical="center" wrapText="1"/>
    </x:xf>
    <x:xf numFmtId="9" fontId="25" fillId="0" borderId="23" xfId="0" applyNumberFormat="1" applyFont="1" applyBorder="1"/>
    <x:xf numFmtId="177" fontId="25" fillId="0" borderId="31" xfId="0" applyNumberFormat="1" applyFont="1" applyBorder="1"/>
    <x:xf numFmtId="9" fontId="19" fillId="20" borderId="32" xfId="0" applyNumberFormat="1" applyFont="1" applyFill="1" applyBorder="1" applyAlignment="1">
      <x:alignment horizontal="center" vertical="center" wrapText="1"/>
    </x:xf>
    <x:xf numFmtId="0" fontId="26" fillId="0" borderId="22" xfId="0" applyFont="1" applyBorder="1" applyAlignment="1">
      <x:alignment horizontal="center" vertical="center" wrapText="1"/>
    </x:xf>
    <x:xf numFmtId="9" fontId="19" fillId="0" borderId="32" xfId="0" applyNumberFormat="1" applyFont="1" applyBorder="1" applyAlignment="1">
      <x:alignment horizontal="center" vertical="center" wrapText="1"/>
    </x:xf>
    <x:xf numFmtId="0" fontId="27" fillId="17" borderId="21" xfId="0" applyFont="1" applyFill="1" applyBorder="1" applyAlignment="1">
      <x:alignment vertical="center"/>
    </x:xf>
    <x:xf numFmtId="0" fontId="19" fillId="0" borderId="22" xfId="0" applyFont="1" applyBorder="1" applyAlignment="1">
      <x:alignment vertical="center" wrapText="1"/>
    </x:xf>
    <x:xf numFmtId="176" fontId="22" fillId="0" borderId="22" xfId="0" applyNumberFormat="1" applyFont="1" applyBorder="1" applyAlignment="1">
      <x:alignment horizontal="left" vertical="center" wrapText="1"/>
    </x:xf>
    <x:xf numFmtId="0" fontId="28" fillId="0" borderId="0" xfId="0" applyFont="1"/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/>
    <x:xf numFmtId="0" fontId="3" fillId="0" borderId="1" xfId="0" applyFont="1" applyBorder="1" applyAlignment="1">
      <x:alignment horizontal="left" vertical="center"/>
    </x:xf>
    <x:xf numFmtId="0" fontId="6" fillId="0" borderId="3" xfId="0" applyFont="1" applyBorder="1" applyAlignment="1">
      <x:alignment horizontal="center" vertical="center"/>
    </x:xf>
    <x:xf numFmtId="0" fontId="2" fillId="0" borderId="3" xfId="0" applyFont="1" applyBorder="1"/>
    <x:xf numFmtId="0" fontId="9" fillId="0" borderId="3" xfId="0" applyFont="1" applyBorder="1" applyAlignment="1">
      <x:alignment horizontal="center" vertical="center"/>
    </x:xf>
    <x:xf numFmtId="0" fontId="2" fillId="0" borderId="5" xfId="0" applyFont="1" applyBorder="1"/>
    <x:xf numFmtId="0" fontId="6" fillId="0" borderId="6" xfId="0" applyFont="1" applyBorder="1" applyAlignment="1">
      <x:alignment vertical="center"/>
    </x:xf>
    <x:xf numFmtId="0" fontId="2" fillId="0" borderId="6" xfId="0" applyFont="1" applyBorder="1"/>
    <x:xf numFmtId="0" fontId="1" fillId="0" borderId="7" xfId="0" applyFont="1" applyBorder="1" applyAlignment="1">
      <x:alignment horizontal="center" vertical="center"/>
    </x:xf>
    <x:xf numFmtId="0" fontId="2" fillId="0" borderId="7" xfId="0" applyFont="1" applyBorder="1"/>
    <x:xf numFmtId="176" fontId="3" fillId="0" borderId="7" xfId="0" applyNumberFormat="1" applyFont="1" applyBorder="1" applyAlignment="1">
      <x:alignment horizontal="left" vertical="center"/>
    </x:xf>
    <x:xf numFmtId="0" fontId="5" fillId="0" borderId="8" xfId="0" applyFont="1" applyBorder="1" applyAlignment="1">
      <x:alignment horizontal="center"/>
    </x:xf>
    <x:xf numFmtId="0" fontId="2" fillId="0" borderId="8" xfId="0" applyFont="1" applyBorder="1"/>
    <x:xf numFmtId="0" fontId="6" fillId="0" borderId="8" xfId="0" applyFont="1" applyBorder="1" applyAlignment="1">
      <x:alignment horizontal="center" vertical="center"/>
    </x:xf>
    <x:xf numFmtId="0" fontId="12" fillId="11" borderId="11" xfId="0" applyFont="1" applyFill="1" applyBorder="1" applyAlignment="1">
      <x:alignment horizontal="center" vertical="center" wrapText="1"/>
    </x:xf>
    <x:xf numFmtId="0" fontId="2" fillId="0" borderId="15" xfId="0" applyFont="1" applyBorder="1"/>
    <x:xf numFmtId="0" fontId="2" fillId="0" borderId="19" xfId="0" applyFont="1" applyBorder="1"/>
    <x:xf numFmtId="0" fontId="13" fillId="14" borderId="16" xfId="0" applyFont="1" applyFill="1" applyBorder="1" applyAlignment="1">
      <x:alignment horizontal="center" vertical="center"/>
    </x:xf>
    <x:xf numFmtId="0" fontId="2" fillId="0" borderId="17" xfId="0" applyFont="1" applyBorder="1"/>
    <x:xf numFmtId="0" fontId="2" fillId="0" borderId="18" xfId="0" applyFont="1" applyBorder="1"/>
    <x:xf numFmtId="0" fontId="13" fillId="7" borderId="16" xfId="0" applyFont="1" applyFill="1" applyBorder="1" applyAlignment="1">
      <x:alignment horizontal="center" vertical="center"/>
    </x:xf>
    <x:xf numFmtId="0" fontId="13" fillId="12" borderId="12" xfId="0" applyFont="1" applyFill="1" applyBorder="1" applyAlignment="1">
      <x:alignment horizontal="center" vertical="center"/>
    </x:xf>
    <x:xf numFmtId="0" fontId="2" fillId="0" borderId="13" xfId="0" applyFont="1" applyBorder="1"/>
    <x:xf numFmtId="0" fontId="2" fillId="0" borderId="14" xfId="0" applyFont="1" applyBorder="1"/>
    <x:xf numFmtId="0" fontId="13" fillId="13" borderId="12" xfId="0" applyFont="1" applyFill="1" applyBorder="1" applyAlignment="1">
      <x:alignment horizontal="center" vertical="center"/>
    </x:xf>
    <x:xf numFmtId="0" fontId="32" fillId="0" borderId="0" xfId="0" applyNumberFormat="1" applyFont="1" applyFill="1" applyBorder="1"/>
    <x:xf numFmtId="0" fontId="32" fillId="0" borderId="0" xfId="0" applyNumberFormat="1" applyFont="1" applyFill="1" applyBorder="1" applyAlignment="1">
      <x:alignment horizontal="left"/>
    </x:xf>
    <x:xf numFmtId="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0" fillId="23" borderId="0" xfId="0" applyNumberFormat="1" applyFont="1" applyFill="1" applyBorder="1"/>
    <x:xf numFmtId="0" fontId="0" fillId="24" borderId="0" xfId="0" applyNumberFormat="1" applyFont="1" applyFill="1" applyBorder="1"/>
    <x:xf numFmtId="0" fontId="0" fillId="25" borderId="0" xfId="0" applyNumberFormat="1" applyFont="1" applyFill="1" applyBorder="1"/>
    <x:xf numFmtId="0" fontId="0" fillId="26" borderId="0" xfId="0" applyNumberFormat="1" applyFont="1" applyFill="1" applyBorder="1"/>
    <x:xf numFmtId="0" fontId="33" fillId="0" borderId="0" xfId="0" applyNumberFormat="1" applyFont="1" applyFill="1" applyBorder="1"/>
    <x:xf numFmtId="200" fontId="19" fillId="0" borderId="13" xfId="0" applyNumberFormat="1" applyFont="1" applyFill="1" applyBorder="1" applyAlignment="1">
      <x:alignment horizontal="left" vertical="center" wrapText="1"/>
    </x:xf>
    <x:xf numFmtId="200" fontId="22" fillId="0" borderId="13" xfId="0" applyNumberFormat="1" applyFont="1" applyFill="1" applyBorder="1" applyAlignment="1">
      <x:alignment horizontal="left" vertical="center" wrapText="1"/>
    </x:xf>
    <x:xf numFmtId="200" fontId="5" fillId="0" borderId="13" xfId="0" applyNumberFormat="1" applyFont="1" applyFill="1" applyBorder="1" applyAlignment="1">
      <x:alignment horizontal="left" vertical="center" wrapText="1"/>
    </x:xf>
    <x:xf numFmtId="200" fontId="18" fillId="17" borderId="6" xfId="0" applyNumberFormat="1" applyFont="1" applyFill="1" applyBorder="1" applyAlignment="1">
      <x:alignment vertical="center" wrapText="1"/>
    </x:xf>
    <x:xf numFmtId="0" fontId="34" fillId="0" borderId="0" xfId="0" applyNumberFormat="1" applyFont="1" applyFill="1" applyBorder="1" applyAlignment="1">
      <x:alignment horizontal="center" vertical="center"/>
    </x:xf>
    <x:xf numFmtId="0" fontId="35" fillId="0" borderId="0" xfId="0" applyNumberFormat="1" applyFont="1" applyFill="1" applyBorder="1" applyAlignment="1">
      <x:alignment horizontal="center"/>
    </x:xf>
    <x:xf numFmtId="201" fontId="35" fillId="0" borderId="0" xfId="0" applyNumberFormat="1" applyFont="1" applyFill="1" applyBorder="1" applyAlignment="1">
      <x:alignment horizontal="center"/>
    </x:xf>
    <x:xf numFmtId="0" fontId="36" fillId="2" borderId="0" xfId="0" applyNumberFormat="1" applyFont="1" applyFill="1" applyBorder="1" applyAlignment="1">
      <x:alignment vertical="center"/>
    </x:xf>
    <x:xf numFmtId="0" fontId="36" fillId="2" borderId="0" xfId="0" applyNumberFormat="1" applyFont="1" applyFill="1" applyBorder="1" applyAlignment="1">
      <x:alignment horizontal="center" vertical="center"/>
    </x:xf>
    <x:xf numFmtId="0" fontId="36" fillId="2" borderId="0" xfId="0" applyNumberFormat="1" applyFont="1" applyFill="1" applyBorder="1" applyAlignment="1">
      <x:alignment horizontal="left" vertical="center"/>
    </x:xf>
    <x:xf numFmtId="0" fontId="13" fillId="27" borderId="12" xfId="0" applyNumberFormat="1" applyFont="1" applyFill="1" applyBorder="1" applyAlignment="1">
      <x:alignment horizontal="center" vertical="center"/>
    </x:xf>
    <x:xf numFmtId="0" fontId="2" fillId="27" borderId="13" xfId="0" applyNumberFormat="1" applyFont="1" applyFill="1" applyBorder="1"/>
    <x:xf numFmtId="0" fontId="37" fillId="27" borderId="12" xfId="0" applyNumberFormat="1" applyFont="1" applyFill="1" applyBorder="1" applyAlignment="1">
      <x:alignment horizontal="center" vertical="center"/>
    </x:xf>
    <x:xf numFmtId="0" fontId="38" fillId="27" borderId="13" xfId="0" applyNumberFormat="1" applyFont="1" applyFill="1" applyBorder="1"/>
    <x:xf numFmtId="202" fontId="15" fillId="15" borderId="20" xfId="0" applyNumberFormat="1" applyFont="1" applyFill="1" applyBorder="1" applyAlignment="1">
      <x:alignment horizontal="center" vertical="center"/>
    </x:xf>
    <x:xf numFmtId="202" fontId="16" fillId="15" borderId="20" xfId="0" applyNumberFormat="1" applyFont="1" applyFill="1" applyBorder="1" applyAlignment="1">
      <x:alignment horizontal="center" vertical="center"/>
    </x:xf>
    <x:xf numFmtId="202" fontId="15" fillId="16" borderId="20" xfId="0" applyNumberFormat="1" applyFont="1" applyFill="1" applyBorder="1" applyAlignment="1">
      <x:alignment horizontal="center" vertical="center"/>
    </x:xf>
    <x:xf numFmtId="202" fontId="16" fillId="16" borderId="20" xfId="0" applyNumberFormat="1" applyFont="1" applyFill="1" applyBorder="1" applyAlignment="1">
      <x:alignment horizontal="center" vertical="center"/>
    </x:xf>
    <x:xf numFmtId="0" fontId="13" fillId="14" borderId="16" xfId="0" applyNumberFormat="1" applyFont="1" applyFill="1" applyBorder="1" applyAlignment="1">
      <x:alignment horizontal="center" vertical="center"/>
    </x:xf>
    <x:xf numFmtId="0" fontId="39" fillId="0" borderId="17" xfId="0" applyNumberFormat="1" applyFont="1" applyFill="1" applyBorder="1"/>
    <x:xf numFmtId="0" fontId="39" fillId="0" borderId="18" xfId="0" applyNumberFormat="1" applyFont="1" applyFill="1" applyBorder="1"/>
    <x:xf numFmtId="0" fontId="13" fillId="7" borderId="16" xfId="0" applyNumberFormat="1" applyFont="1" applyFill="1" applyBorder="1" applyAlignment="1">
      <x:alignment horizontal="center" vertical="center"/>
    </x:xf>
    <x:xf numFmtId="9" fontId="20" fillId="28" borderId="23" xfId="0" applyNumberFormat="1" applyFont="1" applyFill="1" applyBorder="1" applyAlignment="1">
      <x:alignment horizontal="center" vertical="center"/>
    </x:xf>
    <x:xf numFmtId="177" fontId="20" fillId="28" borderId="24" xfId="0" applyNumberFormat="1" applyFont="1" applyFill="1" applyBorder="1" applyAlignment="1">
      <x:alignment horizontal="center" vertical="center"/>
    </x:xf>
    <x:xf numFmtId="0" fontId="20" fillId="28" borderId="24" xfId="0" applyNumberFormat="1" applyFont="1" applyFill="1" applyBorder="1" applyAlignment="1">
      <x:alignment horizontal="center" vertical="center"/>
    </x:xf>
    <x:xf numFmtId="0" fontId="20" fillId="29" borderId="26" xfId="0" applyNumberFormat="1" applyFont="1" applyFill="1" applyBorder="1" applyAlignment="1">
      <x:alignment horizontal="center" vertical="center"/>
    </x:xf>
    <x:xf numFmtId="0" fontId="20" fillId="29" borderId="24" xfId="0" applyNumberFormat="1" applyFont="1" applyFill="1" applyBorder="1" applyAlignment="1">
      <x:alignment horizontal="center" vertical="center"/>
    </x:xf>
    <x:xf numFmtId="0" fontId="20" fillId="28" borderId="26" xfId="0" applyNumberFormat="1" applyFont="1" applyFill="1" applyBorder="1" applyAlignment="1">
      <x:alignment horizontal="center" vertical="center"/>
    </x:xf>
    <x:xf numFmtId="9" fontId="20" fillId="28" borderId="27" xfId="0" applyNumberFormat="1" applyFont="1" applyFill="1" applyBorder="1" applyAlignment="1">
      <x:alignment horizontal="center" vertical="center"/>
    </x:xf>
    <x:xf numFmtId="177" fontId="20" fillId="28" borderId="26" xfId="0" applyNumberFormat="1" applyFont="1" applyFill="1" applyBorder="1" applyAlignment="1">
      <x:alignment horizontal="center" vertical="center"/>
    </x:xf>
    <x:xf numFmtId="0" fontId="5" fillId="28" borderId="3" xfId="0" applyNumberFormat="1" applyFont="1" applyFill="1" applyBorder="1"/>
    <x:xf numFmtId="0" fontId="5" fillId="29" borderId="3" xfId="0" applyNumberFormat="1" applyFont="1" applyFill="1" applyBorder="1"/>
    <x:xf numFmtId="0" fontId="4" fillId="28" borderId="8" xfId="0" applyNumberFormat="1" applyFont="1" applyFill="1" applyBorder="1" applyAlignment="1">
      <x:alignment vertical="center"/>
    </x:xf>
    <x:xf numFmtId="9" fontId="23" fillId="28" borderId="27" xfId="0" applyNumberFormat="1" applyFont="1" applyFill="1" applyBorder="1" applyAlignment="1">
      <x:alignment horizontal="center" vertical="center"/>
    </x:xf>
    <x:xf numFmtId="177" fontId="20" fillId="28" borderId="28" xfId="0" applyNumberFormat="1" applyFont="1" applyFill="1" applyBorder="1" applyAlignment="1">
      <x:alignment horizontal="center" vertical="center"/>
    </x:xf>
    <x:xf numFmtId="0" fontId="5" fillId="28" borderId="8" xfId="0" applyNumberFormat="1" applyFont="1" applyFill="1" applyBorder="1"/>
    <x:xf numFmtId="0" fontId="8" fillId="29" borderId="3" xfId="0" applyNumberFormat="1" applyFont="1" applyFill="1" applyBorder="1" applyAlignment="1">
      <x:alignment vertical="center"/>
    </x:xf>
    <x:xf numFmtId="0" fontId="5" fillId="29" borderId="8" xfId="0" applyNumberFormat="1" applyFont="1" applyFill="1" applyBorder="1"/>
    <x:xf numFmtId="0" fontId="8" fillId="28" borderId="3" xfId="0" applyNumberFormat="1" applyFont="1" applyFill="1" applyBorder="1" applyAlignment="1">
      <x:alignment vertical="center"/>
    </x:xf>
    <x:xf numFmtId="9" fontId="20" fillId="28" borderId="29" xfId="0" applyNumberFormat="1" applyFont="1" applyFill="1" applyBorder="1" applyAlignment="1">
      <x:alignment horizontal="center" vertical="center"/>
    </x:xf>
    <x:xf numFmtId="0" fontId="24" fillId="28" borderId="26" xfId="0" applyNumberFormat="1" applyFont="1" applyFill="1" applyBorder="1" applyAlignment="1">
      <x:alignment horizontal="center" vertical="center"/>
    </x:xf>
    <x:xf numFmtId="0" fontId="4" fillId="29" borderId="8" xfId="0" applyNumberFormat="1" applyFont="1" applyFill="1" applyBorder="1" applyAlignment="1">
      <x:alignment vertical="center"/>
    </x:xf>
    <x:xf numFmtId="0" fontId="20" fillId="29" borderId="30" xfId="0" applyNumberFormat="1" applyFont="1" applyFill="1" applyBorder="1" applyAlignment="1">
      <x:alignment horizontal="center" vertical="center"/>
    </x:xf>
    <x:xf numFmtId="0" fontId="5" fillId="28" borderId="26" xfId="0" applyNumberFormat="1" applyFont="1" applyFill="1" applyBorder="1"/>
    <x:xf numFmtId="0" fontId="5" fillId="28" borderId="28" xfId="0" applyNumberFormat="1" applyFont="1" applyFill="1" applyBorder="1"/>
    <x:xf numFmtId="0" fontId="10" fillId="28" borderId="0" xfId="0" applyNumberFormat="1" applyFont="1" applyFill="1" applyBorder="1" applyAlignment="1">
      <x:alignment vertical="center"/>
    </x:xf>
    <x:xf numFmtId="0" fontId="10" fillId="29" borderId="0" xfId="0" applyNumberFormat="1" applyFont="1" applyFill="1" applyBorder="1" applyAlignment="1">
      <x:alignment vertical="center"/>
    </x:xf>
    <x:xf numFmtId="9" fontId="25" fillId="28" borderId="23" xfId="0" applyNumberFormat="1" applyFont="1" applyFill="1" applyBorder="1"/>
    <x:xf numFmtId="177" fontId="25" fillId="28" borderId="31" xfId="0" applyNumberFormat="1" applyFont="1" applyFill="1" applyBorder="1"/>
    <x:xf numFmtId="0" fontId="22" fillId="28" borderId="0" xfId="0" applyNumberFormat="1" applyFont="1" applyFill="1" applyBorder="1"/>
    <x:xf numFmtId="0" fontId="19" fillId="0" borderId="13" xfId="0" applyNumberFormat="1" applyFont="1" applyFill="1" applyBorder="1" applyAlignment="1">
      <x:alignment horizontal="left" vertical="center" wrapText="1"/>
    </x:xf>
    <x:xf numFmtId="0" fontId="19" fillId="0" borderId="0" xfId="0" applyNumberFormat="1" applyFont="1" applyFill="1" applyBorder="1" applyAlignment="1">
      <x:alignment horizontal="left" vertical="center" wrapText="1"/>
    </x:xf>
    <x:xf numFmtId="0" fontId="18" fillId="17" borderId="6" xfId="0" applyNumberFormat="1" applyFont="1" applyFill="1" applyBorder="1" applyAlignment="1">
      <x:alignment horizontal="left" vertical="center"/>
    </x:xf>
    <x:xf numFmtId="0" fontId="26" fillId="0" borderId="13" xfId="0" applyNumberFormat="1" applyFont="1" applyFill="1" applyBorder="1" applyAlignment="1">
      <x:alignment horizontal="left" vertical="center" wrapText="1"/>
    </x:xf>
    <x:xf numFmtId="0" fontId="27" fillId="17" borderId="6" xfId="0" applyNumberFormat="1" applyFont="1" applyFill="1" applyBorder="1" applyAlignment="1">
      <x:alignment horizontal="left" vertical="center"/>
    </x:xf>
    <x:xf numFmtId="0" fontId="19" fillId="0" borderId="13" xfId="0" applyNumberFormat="1" applyFont="1" applyFill="1" applyBorder="1" applyAlignment="1">
      <x:alignment horizontal="left" vertical="center" wrapText="0"/>
    </x:xf>
    <x:xf numFmtId="0" fontId="19" fillId="0" borderId="0" xfId="0" applyNumberFormat="1" applyFont="1" applyFill="1" applyBorder="1" applyAlignment="1">
      <x:alignment horizontal="left" vertical="center" wrapText="0"/>
    </x:xf>
    <x:xf numFmtId="0" fontId="18" fillId="17" borderId="6" xfId="0" applyNumberFormat="1" applyFont="1" applyFill="1" applyBorder="1" applyAlignment="1">
      <x:alignment horizontal="left" vertical="center" wrapText="0"/>
    </x:xf>
    <x:xf numFmtId="0" fontId="26" fillId="0" borderId="13" xfId="0" applyNumberFormat="1" applyFont="1" applyFill="1" applyBorder="1" applyAlignment="1">
      <x:alignment horizontal="left" vertical="center" wrapText="0"/>
    </x:xf>
    <x:xf numFmtId="0" fontId="27" fillId="17" borderId="6" xfId="0" applyNumberFormat="1" applyFont="1" applyFill="1" applyBorder="1" applyAlignment="1">
      <x:alignment horizontal="left" vertical="center" wrapText="0"/>
    </x:xf>
  </x:cellXfs>
  <x:cellStyles count="1">
    <x:cellStyle name="표준" xfId="0"/>
  </x:cellStyles>
  <x:dxfs count="10"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 patternType="solid">
          <x:bgColor rgb="FF548DD4"/>
        </x:patternFill>
      </x:fill>
    </x:dxf>
    <x:dxf>
      <x:fill>
        <x:patternFill patternType="solid">
          <x:bgColor rgb="FFD99594"/>
        </x:patternFill>
      </x:fill>
    </x:dxf>
    <x:dxf>
      <x:fill>
        <x:patternFill patternType="solid">
          <x:bgColor rgb="FF632423"/>
        </x:patternFill>
      </x:fill>
    </x:dxf>
    <x:dxf>
      <x:fill>
        <x:patternFill patternType="solid">
          <x:bgColor rgb="FFB2A1C7"/>
        </x:patternFill>
      </x:fill>
    </x:dxf>
    <x:dxf>
      <x:fill>
        <x:patternFill patternType="solid">
          <x:bgColor rgb="FF3F3151"/>
        </x:patternFill>
      </x:fill>
    </x:dxf>
    <x:dxf>
      <x:fill>
        <x:patternFill patternType="solid">
          <x:bgColor rgb="FFB6D7A8"/>
        </x:patternFill>
      </x:fill>
    </x:dxf>
    <x:dxf>
      <x:fill>
        <x:patternFill patternType="solid">
          <x:bgColor rgb="FF548DD4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629f7879744e2" /><Relationship Type="http://schemas.openxmlformats.org/officeDocument/2006/relationships/theme" Target="/xl/theme/theme1.xml" Id="Rcb0d9706a1494359" /><Relationship Type="http://schemas.openxmlformats.org/officeDocument/2006/relationships/sharedStrings" Target="/xl/sharedStrings.xml" Id="R61b9acfb39b74484" /><Relationship Type="http://schemas.openxmlformats.org/officeDocument/2006/relationships/worksheet" Target="/xl/worksheets/sheet1.xml" Id="R3211dd4975d0473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sheetPr>
    <x:tabColor rgb="FF3D85C6"/>
  </x:sheetPr>
  <x:sheetViews>
    <x:sheetView showGridLines="0" tabSelected="1" workbookViewId="0">
      <x:selection activeCell="A5" sqref="A5:A7"/>
    </x:sheetView>
  </x:sheetViews>
  <x:sheetFormatPr defaultColWidth="14.44921875" defaultRowHeight="15"/>
  <x:cols>
    <x:col min="1" max="1" width="12.69921875" customWidth="1"/>
    <x:col min="2" max="2" width="41" hidden="0" customWidth="1"/>
    <x:col min="3" max="3" width="25" hidden="0" customWidth="1"/>
    <x:col min="4" max="4" width="26" customWidth="1"/>
    <x:col min="5" max="6" width="14.296875" customWidth="1"/>
    <x:col min="7" max="7" width="9.84765625" customWidth="1"/>
    <x:col min="8" max="8" width="12.69921875" customWidth="1"/>
    <x:col min="9" max="43" width="3.44921875" customWidth="1"/>
    <x:col min="44" max="48" width="3.84765625" customWidth="1"/>
  </x:cols>
  <x:sheetData>
    <x:row r="1" ht="21" customHeight="1">
      <x:c r="A1" s="82" t="s">
        <x:v>0</x:v>
      </x:c>
      <x:c r="B1" s="83"/>
      <x:c r="C1" s="1" t="str">
        <x:v>전기 도면 CAD 변환·개정 비교</x:v>
      </x:c>
      <x:c r="D1" s="2"/>
      <x:c r="E1" s="3"/>
      <x:c r="F1" s="82" t="s">
        <x:v>1</x:v>
      </x:c>
      <x:c r="G1" s="83"/>
      <x:c r="H1" s="83"/>
      <x:c r="I1" s="109" t="str">
        <x:v>김성준, 이원석, 문홍식, 김태훈</x:v>
      </x:c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  <x:c r="T1"/>
      <x:c r="U1" s="108" t="str">
        <x:v>팀원 전체</x:v>
      </x:c>
      <x:c r="V1"/>
      <x:c r="W1"/>
      <x:c r="X1" s="110"/>
      <x:c r="Y1"/>
      <x:c r="Z1" s="108" t="str">
        <x:v>김성준</x:v>
      </x:c>
      <x:c r="AA1"/>
      <x:c r="AB1"/>
      <x:c r="AC1" s="111"/>
      <x:c r="AD1"/>
      <x:c r="AE1" s="108" t="str">
        <x:v>문홍식</x:v>
      </x:c>
      <x:c r="AF1"/>
      <x:c r="AG1"/>
      <x:c r="AH1" s="113"/>
      <x:c r="AI1"/>
      <x:c r="AJ1" s="108" t="str">
        <x:v>공동 담당</x:v>
      </x:c>
      <x:c r="AK1"/>
      <x:c r="AL1"/>
      <x:c r="AM1"/>
      <x:c r="AN1" s="115"/>
      <x:c r="AO1"/>
      <x:c r="AP1"/>
      <x:c r="AQ1"/>
      <x:c r="AR1"/>
      <x:c r="AS1"/>
      <x:c r="AT1"/>
      <x:c r="AU1"/>
      <x:c r="AV1"/>
    </x:row>
    <x:row r="2" ht="21" customHeight="1">
      <x:c r="A2" s="82" t="s">
        <x:v>2</x:v>
      </x:c>
      <x:c r="B2" s="83"/>
      <x:c r="C2" s="13" t="str">
        <x:v>김성준</x:v>
      </x:c>
      <x:c r="D2" s="4"/>
      <x:c r="E2" s="3"/>
      <x:c r="F2" s="91" t="s">
        <x:v>3</x:v>
      </x:c>
      <x:c r="G2" s="92"/>
      <x:c r="H2" s="92"/>
      <x:c r="I2" s="109" t="str">
        <x:f>IF(OR(COUNT(E9:E47)=0,COUNT(F9:F47)=0),"",TEXT(MIN(E9:E47),"yyyy-mm-dd")&amp;" ~ "&amp;TEXT(MAX(F9:F47),"yyyy-mm-dd"))</x:f>
        <x:v>2023-05-03 ~ 2023-06-16</x:v>
      </x:c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/>
      <x:c r="U2"/>
      <x:c r="V2"/>
      <x:c r="W2"/>
      <x:c r="X2"/>
      <x:c r="Y2"/>
      <x:c r="Z2" s="108" t="str">
        <x:v>이원석</x:v>
      </x:c>
      <x:c r="AA2"/>
      <x:c r="AB2"/>
      <x:c r="AC2" s="112"/>
      <x:c r="AD2"/>
      <x:c r="AE2" s="108" t="str">
        <x:v>김태훈</x:v>
      </x:c>
      <x:c r="AF2"/>
      <x:c r="AG2"/>
      <x:c r="AH2" s="114"/>
      <x:c r="AI2"/>
      <x:c r="AJ2" s="116" t="str">
        <x:v>2인 이상 공동 작업</x:v>
      </x:c>
      <x:c r="AK2" s="116"/>
      <x:c r="AL2" s="116"/>
      <x:c r="AM2" s="116"/>
      <x:c r="AN2" s="116"/>
      <x:c r="AO2" s="116"/>
      <x:c r="AP2" s="116"/>
      <x:c r="AQ2" s="116"/>
      <x:c r="AR2"/>
      <x:c r="AS2"/>
      <x:c r="AT2"/>
      <x:c r="AU2"/>
      <x:c r="AV2"/>
    </x:row>
    <x:row r="3" ht="15.75" customHeight="1">
      <x:c r="A3" s="18"/>
      <x:c r="B3" s="19"/>
      <x:c r="C3" s="20"/>
      <x:c r="D3" s="9"/>
      <x:c r="E3" s="3"/>
      <x:c r="F3" s="18"/>
      <x:c r="G3" s="121" t="str">
        <x:v>칸당 일수</x:v>
      </x:c>
      <x:c r="H3" s="123" t="n">
        <x:f>MAX(1,ROUNDUP((MAX(F9:F47)-MIN(E9:E47)+1)/35,0))</x:f>
        <x:v>2</x:v>
      </x:c>
      <x:c r="I3" s="9"/>
      <x:c r="J3" s="9"/>
      <x:c r="K3" s="21"/>
      <x:c r="L3" s="22"/>
      <x:c r="M3" s="22"/>
      <x:c r="N3" s="22"/>
      <x:c r="O3" s="22"/>
      <x:c r="P3" s="21"/>
      <x:c r="Q3" s="22"/>
      <x:c r="R3" s="22"/>
      <x:c r="S3" s="22"/>
      <x:c r="T3" s="3"/>
      <x:c r="U3" s="3"/>
      <x:c r="V3" s="3"/>
      <x:c r="W3" s="3"/>
      <x:c r="X3" s="3"/>
      <x:c r="Y3" s="3"/>
      <x:c r="Z3" s="3"/>
      <x:c r="AA3" s="3"/>
      <x:c r="AB3" s="23"/>
      <x:c r="AC3" s="3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12"/>
      <x:c r="AS3" s="12"/>
      <x:c r="AT3" s="12"/>
      <x:c r="AU3" s="12"/>
      <x:c r="AV3" s="12"/>
    </x:row>
    <x:row r="4" ht="21" customHeight="1">
      <x:c r="A4" s="126" t="str">
        <x:v>시작일·마감일 수정 → 날짜 눈금·색상 자동 반영 / 기간은 시작일·마감일 포함 / 기존 일정·완료율 유지</x:v>
      </x:c>
      <x:c r="B4" s="126"/>
      <x:c r="C4" s="126"/>
      <x:c r="D4" s="126"/>
      <x:c r="E4" s="126"/>
      <x:c r="F4" s="126"/>
      <x:c r="G4" s="126"/>
      <x:c r="H4" s="126"/>
      <x:c r="I4" s="24"/>
      <x:c r="J4" s="24"/>
      <x:c r="K4" s="24"/>
      <x:c r="L4" s="24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26"/>
      <x:c r="AS4" s="26"/>
      <x:c r="AT4" s="26"/>
      <x:c r="AU4" s="26"/>
      <x:c r="AV4" s="26"/>
    </x:row>
    <x:row r="5" ht="17.25" customHeight="1">
      <x:c r="A5" s="97" t="s">
        <x:v>4</x:v>
      </x:c>
      <x:c r="B5" s="97" t="s">
        <x:v>5</x:v>
      </x:c>
      <x:c r="C5" s="97" t="s">
        <x:v>6</x:v>
      </x:c>
      <x:c r="D5" s="97" t="s">
        <x:v>7</x:v>
      </x:c>
      <x:c r="E5" s="97" t="s">
        <x:v>8</x:v>
      </x:c>
      <x:c r="F5" s="97" t="s">
        <x:v>9</x:v>
      </x:c>
      <x:c r="G5" s="97" t="str">
        <x:v>기간(일)</x:v>
      </x:c>
      <x:c r="H5" s="97" t="s">
        <x:v>10</x:v>
      </x:c>
      <x:c r="I5" s="129" t="str">
        <x:f>"전체 일정 · 1칸 = "&amp;H3&amp;"일 (주말 포함)"</x:f>
        <x:v>전체 일정 · 1칸 = 2일 (주말 포함)</x:v>
      </x:c>
      <x:c r="J5" s="130"/>
      <x:c r="K5" s="130"/>
      <x:c r="L5" s="130"/>
      <x:c r="M5" s="130"/>
      <x:c r="N5" s="130"/>
      <x:c r="O5" s="130"/>
      <x:c r="P5" s="130"/>
      <x:c r="Q5" s="130"/>
      <x:c r="R5" s="130"/>
      <x:c r="S5" s="130"/>
      <x:c r="T5" s="130"/>
      <x:c r="U5" s="130"/>
      <x:c r="V5" s="130"/>
      <x:c r="W5" s="130"/>
      <x:c r="X5" s="130"/>
      <x:c r="Y5" s="130"/>
      <x:c r="Z5" s="130"/>
      <x:c r="AA5" s="130"/>
      <x:c r="AB5" s="130"/>
      <x:c r="AC5" s="130"/>
      <x:c r="AD5" s="130"/>
      <x:c r="AE5" s="130"/>
      <x:c r="AF5" s="130"/>
      <x:c r="AG5" s="130"/>
      <x:c r="AH5" s="129"/>
      <x:c r="AI5" s="130"/>
      <x:c r="AJ5" s="130"/>
      <x:c r="AK5" s="130"/>
      <x:c r="AL5" s="130"/>
      <x:c r="AM5" s="130"/>
      <x:c r="AN5" s="130"/>
      <x:c r="AO5" s="130"/>
      <x:c r="AP5" s="130"/>
      <x:c r="AQ5" s="130"/>
      <x:c r="AR5" s="26"/>
      <x:c r="AS5" s="26"/>
      <x:c r="AT5" s="26"/>
      <x:c r="AU5" s="26"/>
      <x:c r="AV5" s="26"/>
    </x:row>
    <x:row r="6" ht="17.25" customHeight="1">
      <x:c r="A6" s="98"/>
      <x:c r="B6" s="98"/>
      <x:c r="C6" s="98"/>
      <x:c r="D6" s="98"/>
      <x:c r="E6" s="98"/>
      <x:c r="F6" s="98"/>
      <x:c r="G6" s="98"/>
      <x:c r="H6" s="98"/>
      <x:c r="I6" s="135" t="str">
        <x:f>IF(I7="","",TEXT(I7,"m/d")&amp;" ~ "&amp;TEXT(MIN(I7+5*$H$3-1,MAX($F$9:$F$47)),"m/d"))</x:f>
        <x:v>5/3 ~ 5/12</x:v>
      </x:c>
      <x:c r="J6" s="136"/>
      <x:c r="K6" s="136"/>
      <x:c r="L6" s="136"/>
      <x:c r="M6" s="137"/>
      <x:c r="N6" s="135" t="str">
        <x:f>IF(N7="","",TEXT(N7,"m/d")&amp;" ~ "&amp;TEXT(MIN(N7+5*$H$3-1,MAX($F$9:$F$47)),"m/d"))</x:f>
        <x:v>5/13 ~ 5/22</x:v>
      </x:c>
      <x:c r="O6" s="136"/>
      <x:c r="P6" s="136"/>
      <x:c r="Q6" s="136"/>
      <x:c r="R6" s="137"/>
      <x:c r="S6" s="135" t="str">
        <x:f>IF(S7="","",TEXT(S7,"m/d")&amp;" ~ "&amp;TEXT(MIN(S7+5*$H$3-1,MAX($F$9:$F$47)),"m/d"))</x:f>
        <x:v>5/23 ~ 6/1</x:v>
      </x:c>
      <x:c r="T6" s="136"/>
      <x:c r="U6" s="136"/>
      <x:c r="V6" s="136"/>
      <x:c r="W6" s="137"/>
      <x:c r="X6" s="135" t="str">
        <x:f>IF(X7="","",TEXT(X7,"m/d")&amp;" ~ "&amp;TEXT(MIN(X7+5*$H$3-1,MAX($F$9:$F$47)),"m/d"))</x:f>
        <x:v>6/2 ~ 6/11</x:v>
      </x:c>
      <x:c r="Y6" s="136"/>
      <x:c r="Z6" s="136"/>
      <x:c r="AA6" s="136"/>
      <x:c r="AB6" s="137"/>
      <x:c r="AC6" s="135" t="str">
        <x:f>IF(AC7="","",TEXT(AC7,"m/d")&amp;" ~ "&amp;TEXT(MIN(AC7+5*$H$3-1,MAX($F$9:$F$47)),"m/d"))</x:f>
        <x:v>6/12 ~ 6/16</x:v>
      </x:c>
      <x:c r="AD6" s="136"/>
      <x:c r="AE6" s="136"/>
      <x:c r="AF6" s="136"/>
      <x:c r="AG6" s="137"/>
      <x:c r="AH6" s="138" t="str">
        <x:f>IF(AH7="","",TEXT(AH7,"m/d")&amp;" ~ "&amp;TEXT(MIN(AH7+5*$H$3-1,MAX($F$9:$F$47)),"m/d"))</x:f>
      </x:c>
      <x:c r="AI6" s="136"/>
      <x:c r="AJ6" s="136"/>
      <x:c r="AK6" s="136"/>
      <x:c r="AL6" s="137"/>
      <x:c r="AM6" s="138" t="str">
        <x:f>IF(AM7="","",TEXT(AM7,"m/d")&amp;" ~ "&amp;TEXT(MIN(AM7+5*$H$3-1,MAX($F$9:$F$47)),"m/d"))</x:f>
      </x:c>
      <x:c r="AN6" s="136"/>
      <x:c r="AO6" s="136"/>
      <x:c r="AP6" s="136"/>
      <x:c r="AQ6" s="137"/>
      <x:c r="AR6" s="27"/>
      <x:c r="AS6" s="27"/>
      <x:c r="AT6" s="27"/>
      <x:c r="AU6" s="27"/>
      <x:c r="AV6" s="27"/>
    </x:row>
    <x:row r="7" ht="17.25" customHeight="1">
      <x:c r="A7" s="99"/>
      <x:c r="B7" s="99"/>
      <x:c r="C7" s="99"/>
      <x:c r="D7" s="99"/>
      <x:c r="E7" s="99"/>
      <x:c r="F7" s="99"/>
      <x:c r="G7" s="99"/>
      <x:c r="H7" s="99"/>
      <x:c r="I7" s="131" t="n">
        <x:f>IF(COUNT($E$9:$E$47)=0,"",IF(MIN($E$9:$E$47)+0*$H$3&gt;MAX($F$9:$F$47),"",MIN($E$9:$E$47)+0*$H$3))</x:f>
        <x:v>45049</x:v>
      </x:c>
      <x:c r="J7" s="131" t="n">
        <x:f>IF(COUNT($E$9:$E$47)=0,"",IF(MIN($E$9:$E$47)+1*$H$3&gt;MAX($F$9:$F$47),"",MIN($E$9:$E$47)+1*$H$3))</x:f>
        <x:v>45051</x:v>
      </x:c>
      <x:c r="K7" s="131" t="n">
        <x:f>IF(COUNT($E$9:$E$47)=0,"",IF(MIN($E$9:$E$47)+2*$H$3&gt;MAX($F$9:$F$47),"",MIN($E$9:$E$47)+2*$H$3))</x:f>
        <x:v>45053</x:v>
      </x:c>
      <x:c r="L7" s="131" t="n">
        <x:f>IF(COUNT($E$9:$E$47)=0,"",IF(MIN($E$9:$E$47)+3*$H$3&gt;MAX($F$9:$F$47),"",MIN($E$9:$E$47)+3*$H$3))</x:f>
        <x:v>45055</x:v>
      </x:c>
      <x:c r="M7" s="131" t="n">
        <x:f>IF(COUNT($E$9:$E$47)=0,"",IF(MIN($E$9:$E$47)+4*$H$3&gt;MAX($F$9:$F$47),"",MIN($E$9:$E$47)+4*$H$3))</x:f>
        <x:v>45057</x:v>
      </x:c>
      <x:c r="N7" s="131" t="n">
        <x:f>IF(COUNT($E$9:$E$47)=0,"",IF(MIN($E$9:$E$47)+5*$H$3&gt;MAX($F$9:$F$47),"",MIN($E$9:$E$47)+5*$H$3))</x:f>
        <x:v>45059</x:v>
      </x:c>
      <x:c r="O7" s="131" t="n">
        <x:f>IF(COUNT($E$9:$E$47)=0,"",IF(MIN($E$9:$E$47)+6*$H$3&gt;MAX($F$9:$F$47),"",MIN($E$9:$E$47)+6*$H$3))</x:f>
        <x:v>45061</x:v>
      </x:c>
      <x:c r="P7" s="131" t="n">
        <x:f>IF(COUNT($E$9:$E$47)=0,"",IF(MIN($E$9:$E$47)+7*$H$3&gt;MAX($F$9:$F$47),"",MIN($E$9:$E$47)+7*$H$3))</x:f>
        <x:v>45063</x:v>
      </x:c>
      <x:c r="Q7" s="131" t="n">
        <x:f>IF(COUNT($E$9:$E$47)=0,"",IF(MIN($E$9:$E$47)+8*$H$3&gt;MAX($F$9:$F$47),"",MIN($E$9:$E$47)+8*$H$3))</x:f>
        <x:v>45065</x:v>
      </x:c>
      <x:c r="R7" s="131" t="n">
        <x:f>IF(COUNT($E$9:$E$47)=0,"",IF(MIN($E$9:$E$47)+9*$H$3&gt;MAX($F$9:$F$47),"",MIN($E$9:$E$47)+9*$H$3))</x:f>
        <x:v>45067</x:v>
      </x:c>
      <x:c r="S7" s="131" t="n">
        <x:f>IF(COUNT($E$9:$E$47)=0,"",IF(MIN($E$9:$E$47)+10*$H$3&gt;MAX($F$9:$F$47),"",MIN($E$9:$E$47)+10*$H$3))</x:f>
        <x:v>45069</x:v>
      </x:c>
      <x:c r="T7" s="131" t="n">
        <x:f>IF(COUNT($E$9:$E$47)=0,"",IF(MIN($E$9:$E$47)+11*$H$3&gt;MAX($F$9:$F$47),"",MIN($E$9:$E$47)+11*$H$3))</x:f>
        <x:v>45071</x:v>
      </x:c>
      <x:c r="U7" s="131" t="n">
        <x:f>IF(COUNT($E$9:$E$47)=0,"",IF(MIN($E$9:$E$47)+12*$H$3&gt;MAX($F$9:$F$47),"",MIN($E$9:$E$47)+12*$H$3))</x:f>
        <x:v>45073</x:v>
      </x:c>
      <x:c r="V7" s="131" t="n">
        <x:f>IF(COUNT($E$9:$E$47)=0,"",IF(MIN($E$9:$E$47)+13*$H$3&gt;MAX($F$9:$F$47),"",MIN($E$9:$E$47)+13*$H$3))</x:f>
        <x:v>45075</x:v>
      </x:c>
      <x:c r="W7" s="131" t="n">
        <x:f>IF(COUNT($E$9:$E$47)=0,"",IF(MIN($E$9:$E$47)+14*$H$3&gt;MAX($F$9:$F$47),"",MIN($E$9:$E$47)+14*$H$3))</x:f>
        <x:v>45077</x:v>
      </x:c>
      <x:c r="X7" s="131" t="n">
        <x:f>IF(COUNT($E$9:$E$47)=0,"",IF(MIN($E$9:$E$47)+15*$H$3&gt;MAX($F$9:$F$47),"",MIN($E$9:$E$47)+15*$H$3))</x:f>
        <x:v>45079</x:v>
      </x:c>
      <x:c r="Y7" s="131" t="n">
        <x:f>IF(COUNT($E$9:$E$47)=0,"",IF(MIN($E$9:$E$47)+16*$H$3&gt;MAX($F$9:$F$47),"",MIN($E$9:$E$47)+16*$H$3))</x:f>
        <x:v>45081</x:v>
      </x:c>
      <x:c r="Z7" s="131" t="n">
        <x:f>IF(COUNT($E$9:$E$47)=0,"",IF(MIN($E$9:$E$47)+17*$H$3&gt;MAX($F$9:$F$47),"",MIN($E$9:$E$47)+17*$H$3))</x:f>
        <x:v>45083</x:v>
      </x:c>
      <x:c r="AA7" s="131" t="n">
        <x:f>IF(COUNT($E$9:$E$47)=0,"",IF(MIN($E$9:$E$47)+18*$H$3&gt;MAX($F$9:$F$47),"",MIN($E$9:$E$47)+18*$H$3))</x:f>
        <x:v>45085</x:v>
      </x:c>
      <x:c r="AB7" s="131" t="n">
        <x:f>IF(COUNT($E$9:$E$47)=0,"",IF(MIN($E$9:$E$47)+19*$H$3&gt;MAX($F$9:$F$47),"",MIN($E$9:$E$47)+19*$H$3))</x:f>
        <x:v>45087</x:v>
      </x:c>
      <x:c r="AC7" s="131" t="n">
        <x:f>IF(COUNT($E$9:$E$47)=0,"",IF(MIN($E$9:$E$47)+20*$H$3&gt;MAX($F$9:$F$47),"",MIN($E$9:$E$47)+20*$H$3))</x:f>
        <x:v>45089</x:v>
      </x:c>
      <x:c r="AD7" s="131" t="n">
        <x:f>IF(COUNT($E$9:$E$47)=0,"",IF(MIN($E$9:$E$47)+21*$H$3&gt;MAX($F$9:$F$47),"",MIN($E$9:$E$47)+21*$H$3))</x:f>
        <x:v>45091</x:v>
      </x:c>
      <x:c r="AE7" s="131" t="n">
        <x:f>IF(COUNT($E$9:$E$47)=0,"",IF(MIN($E$9:$E$47)+22*$H$3&gt;MAX($F$9:$F$47),"",MIN($E$9:$E$47)+22*$H$3))</x:f>
        <x:v>45093</x:v>
      </x:c>
      <x:c r="AF7" s="131" t="str">
        <x:f>IF(COUNT($E$9:$E$47)=0,"",IF(MIN($E$9:$E$47)+23*$H$3&gt;MAX($F$9:$F$47),"",MIN($E$9:$E$47)+23*$H$3))</x:f>
      </x:c>
      <x:c r="AG7" s="131" t="str">
        <x:f>IF(COUNT($E$9:$E$47)=0,"",IF(MIN($E$9:$E$47)+24*$H$3&gt;MAX($F$9:$F$47),"",MIN($E$9:$E$47)+24*$H$3))</x:f>
      </x:c>
      <x:c r="AH7" s="133" t="str">
        <x:f>IF(COUNT($E$9:$E$47)=0,"",IF(MIN($E$9:$E$47)+25*$H$3&gt;MAX($F$9:$F$47),"",MIN($E$9:$E$47)+25*$H$3))</x:f>
      </x:c>
      <x:c r="AI7" s="133" t="str">
        <x:f>IF(COUNT($E$9:$E$47)=0,"",IF(MIN($E$9:$E$47)+26*$H$3&gt;MAX($F$9:$F$47),"",MIN($E$9:$E$47)+26*$H$3))</x:f>
      </x:c>
      <x:c r="AJ7" s="133" t="str">
        <x:f>IF(COUNT($E$9:$E$47)=0,"",IF(MIN($E$9:$E$47)+27*$H$3&gt;MAX($F$9:$F$47),"",MIN($E$9:$E$47)+27*$H$3))</x:f>
      </x:c>
      <x:c r="AK7" s="133" t="str">
        <x:f>IF(COUNT($E$9:$E$47)=0,"",IF(MIN($E$9:$E$47)+28*$H$3&gt;MAX($F$9:$F$47),"",MIN($E$9:$E$47)+28*$H$3))</x:f>
      </x:c>
      <x:c r="AL7" s="133" t="str">
        <x:f>IF(COUNT($E$9:$E$47)=0,"",IF(MIN($E$9:$E$47)+29*$H$3&gt;MAX($F$9:$F$47),"",MIN($E$9:$E$47)+29*$H$3))</x:f>
      </x:c>
      <x:c r="AM7" s="133" t="str">
        <x:f>IF(COUNT($E$9:$E$47)=0,"",IF(MIN($E$9:$E$47)+30*$H$3&gt;MAX($F$9:$F$47),"",MIN($E$9:$E$47)+30*$H$3))</x:f>
      </x:c>
      <x:c r="AN7" s="133" t="str">
        <x:f>IF(COUNT($E$9:$E$47)=0,"",IF(MIN($E$9:$E$47)+31*$H$3&gt;MAX($F$9:$F$47),"",MIN($E$9:$E$47)+31*$H$3))</x:f>
      </x:c>
      <x:c r="AO7" s="133" t="str">
        <x:f>IF(COUNT($E$9:$E$47)=0,"",IF(MIN($E$9:$E$47)+32*$H$3&gt;MAX($F$9:$F$47),"",MIN($E$9:$E$47)+32*$H$3))</x:f>
      </x:c>
      <x:c r="AP7" s="133" t="str">
        <x:f>IF(COUNT($E$9:$E$47)=0,"",IF(MIN($E$9:$E$47)+33*$H$3&gt;MAX($F$9:$F$47),"",MIN($E$9:$E$47)+33*$H$3))</x:f>
      </x:c>
      <x:c r="AQ7" s="133" t="str">
        <x:f>IF(COUNT($E$9:$E$47)=0,"",IF(MIN($E$9:$E$47)+34*$H$3&gt;MAX($F$9:$F$47),"",MIN($E$9:$E$47)+34*$H$3))</x:f>
      </x:c>
      <x:c r="AR7" s="32"/>
      <x:c r="AS7" s="32"/>
      <x:c r="AT7" s="32"/>
      <x:c r="AU7" s="32"/>
      <x:c r="AV7" s="32"/>
    </x:row>
    <x:row r="8" ht="21" customHeight="1">
      <x:c r="A8" s="33">
        <x:v>1</x:v>
      </x:c>
      <x:c r="B8" s="34" t="str">
        <x:v>프로젝트 착수·요구사항</x:v>
      </x:c>
      <x:c r="C8" s="35"/>
      <x:c r="D8" s="35"/>
      <x:c r="E8" s="35"/>
      <x:c r="F8" s="35"/>
      <x:c r="G8" s="35"/>
      <x:c r="H8" s="35"/>
      <x:c r="I8" s="36"/>
      <x:c r="J8" s="37"/>
      <x:c r="K8" s="38"/>
      <x:c r="L8" s="38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  <x:c r="AA8" s="36"/>
      <x:c r="AB8" s="36"/>
      <x:c r="AC8" s="36"/>
      <x:c r="AD8" s="36"/>
      <x:c r="AE8" s="36"/>
      <x:c r="AF8" s="36"/>
      <x:c r="AG8" s="36"/>
      <x:c r="AH8" s="36"/>
      <x:c r="AI8" s="36"/>
      <x:c r="AJ8" s="36"/>
      <x:c r="AK8" s="36"/>
      <x:c r="AL8" s="36"/>
      <x:c r="AM8" s="36"/>
      <x:c r="AN8" s="36"/>
      <x:c r="AO8" s="36"/>
      <x:c r="AP8" s="36"/>
      <x:c r="AQ8" s="36"/>
      <x:c r="AR8" s="26"/>
      <x:c r="AS8" s="26"/>
      <x:c r="AT8" s="26"/>
      <x:c r="AU8" s="26"/>
      <x:c r="AV8" s="26"/>
    </x:row>
    <x:row r="9" ht="17.25" customHeight="1">
      <x:c r="A9" s="39">
        <x:v>1.1000000000000001</x:v>
      </x:c>
      <x:c r="B9" s="172" t="str">
        <x:v>CAD 변환·개정 비교 범위 정의</x:v>
      </x:c>
      <x:c r="C9" s="39" t="s">
        <x:v>11</x:v>
      </x:c>
      <x:c r="D9" s="40"/>
      <x:c r="E9" s="117">
        <x:v>45049</x:v>
      </x:c>
      <x:c r="F9" s="117">
        <x:v>45049</x:v>
      </x:c>
      <x:c r="G9" s="39" t="n">
        <x:f>IF(OR(E9="",F9=""),"",IF(F9&lt;E9,"날짜 확인",F9-E9+1))</x:f>
        <x:v>1</x:v>
      </x:c>
      <x:c r="H9" s="42">
        <x:v>1</x:v>
      </x:c>
      <x:c r="I9" s="139"/>
      <x:c r="J9" s="140"/>
      <x:c r="K9" s="141"/>
      <x:c r="L9" s="141"/>
      <x:c r="M9" s="141"/>
      <x:c r="N9" s="142"/>
      <x:c r="O9" s="142"/>
      <x:c r="P9" s="142"/>
      <x:c r="Q9" s="142"/>
      <x:c r="R9" s="142"/>
      <x:c r="S9" s="141"/>
      <x:c r="T9" s="141"/>
      <x:c r="U9" s="141"/>
      <x:c r="V9" s="141"/>
      <x:c r="W9" s="141"/>
      <x:c r="X9" s="142"/>
      <x:c r="Y9" s="142"/>
      <x:c r="Z9" s="142"/>
      <x:c r="AA9" s="142"/>
      <x:c r="AB9" s="142"/>
      <x:c r="AC9" s="141"/>
      <x:c r="AD9" s="141"/>
      <x:c r="AE9" s="141"/>
      <x:c r="AF9" s="141"/>
      <x:c r="AG9" s="141"/>
      <x:c r="AH9" s="143"/>
      <x:c r="AI9" s="143"/>
      <x:c r="AJ9" s="143"/>
      <x:c r="AK9" s="143"/>
      <x:c r="AL9" s="143"/>
      <x:c r="AM9" s="144"/>
      <x:c r="AN9" s="144"/>
      <x:c r="AO9" s="144"/>
      <x:c r="AP9" s="144"/>
      <x:c r="AQ9" s="144"/>
      <x:c r="AR9" s="49"/>
      <x:c r="AS9" s="49"/>
      <x:c r="AT9" s="49"/>
      <x:c r="AU9" s="49"/>
      <x:c r="AV9" s="49"/>
    </x:row>
    <x:row r="10" ht="17.25" customHeight="1">
      <x:c r="A10" s="39">
        <x:v>1.2</x:v>
      </x:c>
      <x:c r="B10" s="172" t="str">
        <x:v>설계·프로젝트 문서 관리</x:v>
      </x:c>
      <x:c r="C10" s="39" t="s">
        <x:v>11</x:v>
      </x:c>
      <x:c r="D10" s="40"/>
      <x:c r="E10" s="117"/>
      <x:c r="F10" s="118"/>
      <x:c r="G10" s="39" t="str">
        <x:f>IF(OR(E10="",F10=""),"",IF(F10&lt;E10,"날짜 확인",F10-E10+1))</x:f>
      </x:c>
      <x:c r="H10" s="51"/>
      <x:c r="I10" s="145"/>
      <x:c r="J10" s="146"/>
      <x:c r="K10" s="144"/>
      <x:c r="L10" s="144"/>
      <x:c r="M10" s="144"/>
      <x:c r="N10" s="142"/>
      <x:c r="O10" s="142"/>
      <x:c r="P10" s="142"/>
      <x:c r="Q10" s="142"/>
      <x:c r="R10" s="142"/>
      <x:c r="S10" s="144"/>
      <x:c r="T10" s="144"/>
      <x:c r="U10" s="144"/>
      <x:c r="V10" s="144"/>
      <x:c r="W10" s="144"/>
      <x:c r="X10" s="142"/>
      <x:c r="Y10" s="142"/>
      <x:c r="Z10" s="142"/>
      <x:c r="AA10" s="142"/>
      <x:c r="AB10" s="142"/>
      <x:c r="AC10" s="144"/>
      <x:c r="AD10" s="144"/>
      <x:c r="AE10" s="144"/>
      <x:c r="AF10" s="144"/>
      <x:c r="AG10" s="144"/>
      <x:c r="AH10" s="142"/>
      <x:c r="AI10" s="142"/>
      <x:c r="AJ10" s="142"/>
      <x:c r="AK10" s="142"/>
      <x:c r="AL10" s="142"/>
      <x:c r="AM10" s="144"/>
      <x:c r="AN10" s="144"/>
      <x:c r="AO10" s="144"/>
      <x:c r="AP10" s="144"/>
      <x:c r="AQ10" s="144"/>
      <x:c r="AR10" s="49"/>
      <x:c r="AS10" s="49"/>
      <x:c r="AT10" s="49"/>
      <x:c r="AU10" s="49"/>
      <x:c r="AV10" s="49"/>
    </x:row>
    <x:row r="11" ht="17.25" customHeight="1">
      <x:c r="A11" s="55" t="s">
        <x:v>12</x:v>
      </x:c>
      <x:c r="B11" s="172" t="str">
        <x:v>개발 문서·이슈 관리</x:v>
      </x:c>
      <x:c r="C11" s="39" t="str">
        <x:v>김성준</x:v>
      </x:c>
      <x:c r="D11" s="40" t="s">
        <x:v>13</x:v>
      </x:c>
      <x:c r="E11" s="117">
        <x:v>45050</x:v>
      </x:c>
      <x:c r="F11" s="118">
        <x:v>45092</x:v>
      </x:c>
      <x:c r="G11" s="39" t="n">
        <x:f t="shared" ref="G11:G18" si="0">IF(OR(E11="",F11=""),"",IF(F11&lt;E11,"날짜 확인",F11-E11+1))</x:f>
        <x:v>43</x:v>
      </x:c>
      <x:c r="H11" s="51">
        <x:v>1</x:v>
      </x:c>
      <x:c r="I11" s="145"/>
      <x:c r="J11" s="146"/>
      <x:c r="K11" s="144"/>
      <x:c r="L11" s="147"/>
      <x:c r="M11" s="147"/>
      <x:c r="N11" s="142"/>
      <x:c r="O11" s="148"/>
      <x:c r="P11" s="142"/>
      <x:c r="Q11" s="142"/>
      <x:c r="R11" s="142"/>
      <x:c r="S11" s="144"/>
      <x:c r="T11" s="144"/>
      <x:c r="U11" s="144"/>
      <x:c r="V11" s="144"/>
      <x:c r="W11" s="144"/>
      <x:c r="X11" s="142"/>
      <x:c r="Y11" s="142"/>
      <x:c r="Z11" s="142"/>
      <x:c r="AA11" s="142"/>
      <x:c r="AB11" s="148"/>
      <x:c r="AC11" s="147"/>
      <x:c r="AD11" s="147"/>
      <x:c r="AE11" s="147"/>
      <x:c r="AF11" s="144"/>
      <x:c r="AG11" s="144"/>
      <x:c r="AH11" s="142"/>
      <x:c r="AI11" s="142"/>
      <x:c r="AJ11" s="142"/>
      <x:c r="AK11" s="142"/>
      <x:c r="AL11" s="142"/>
      <x:c r="AM11" s="149"/>
      <x:c r="AN11" s="149"/>
      <x:c r="AO11" s="144"/>
      <x:c r="AP11" s="144"/>
      <x:c r="AQ11" s="144"/>
      <x:c r="AR11" s="49"/>
      <x:c r="AS11" s="49"/>
      <x:c r="AT11" s="49"/>
      <x:c r="AU11" s="49"/>
      <x:c r="AV11" s="49"/>
    </x:row>
    <x:row r="12" ht="15.75" customHeight="1">
      <x:c r="A12" s="55" t="s">
        <x:v>14</x:v>
      </x:c>
      <x:c r="B12" s="172" t="str">
        <x:v>회의록·의사결정 기록</x:v>
      </x:c>
      <x:c r="C12" s="39" t="str">
        <x:v>이원석</x:v>
      </x:c>
      <x:c r="D12" s="40" t="s">
        <x:v>15</x:v>
      </x:c>
      <x:c r="E12" s="117">
        <x:v>45050</x:v>
      </x:c>
      <x:c r="F12" s="118">
        <x:v>45092</x:v>
      </x:c>
      <x:c r="G12" s="39" t="n">
        <x:f t="shared" si="0">IF(OR(E12="",F12=""),"",IF(F12&lt;E12,"날짜 확인",F12-E12+1))</x:f>
        <x:v>43</x:v>
      </x:c>
      <x:c r="H12" s="51">
        <x:v>1</x:v>
      </x:c>
      <x:c r="I12" s="150"/>
      <x:c r="J12" s="151"/>
      <x:c r="K12" s="152"/>
      <x:c r="L12" s="152"/>
      <x:c r="M12" s="144"/>
      <x:c r="N12" s="142"/>
      <x:c r="O12" s="142"/>
      <x:c r="P12" s="153"/>
      <x:c r="Q12" s="142"/>
      <x:c r="R12" s="142"/>
      <x:c r="S12" s="144"/>
      <x:c r="T12" s="144"/>
      <x:c r="U12" s="152"/>
      <x:c r="V12" s="152"/>
      <x:c r="W12" s="144"/>
      <x:c r="X12" s="142"/>
      <x:c r="Y12" s="142"/>
      <x:c r="Z12" s="154"/>
      <x:c r="AA12" s="142"/>
      <x:c r="AB12" s="142"/>
      <x:c r="AC12" s="144"/>
      <x:c r="AD12" s="152"/>
      <x:c r="AE12" s="152"/>
      <x:c r="AF12" s="152"/>
      <x:c r="AG12" s="152"/>
      <x:c r="AH12" s="142"/>
      <x:c r="AI12" s="142"/>
      <x:c r="AJ12" s="154"/>
      <x:c r="AK12" s="154"/>
      <x:c r="AL12" s="142"/>
      <x:c r="AM12" s="144"/>
      <x:c r="AN12" s="155"/>
      <x:c r="AO12" s="152"/>
      <x:c r="AP12" s="144"/>
      <x:c r="AQ12" s="144"/>
      <x:c r="AR12" s="49"/>
      <x:c r="AS12" s="49"/>
      <x:c r="AT12" s="49"/>
      <x:c r="AU12" s="49"/>
      <x:c r="AV12" s="49"/>
    </x:row>
    <x:row r="13" ht="15.75" customHeight="1">
      <x:c r="A13" s="55" t="s">
        <x:v>16</x:v>
      </x:c>
      <x:c r="B13" s="172" t="str">
        <x:v>주간 진행·품질 보고</x:v>
      </x:c>
      <x:c r="C13" s="59" t="str">
        <x:v>문홍식</x:v>
      </x:c>
      <x:c r="D13" s="60" t="s">
        <x:v>15</x:v>
      </x:c>
      <x:c r="E13" s="117">
        <x:v>45050</x:v>
      </x:c>
      <x:c r="F13" s="119">
        <x:v>45086</x:v>
      </x:c>
      <x:c r="G13" s="39" t="n">
        <x:f t="shared" si="0">IF(OR(E13="",F13=""),"",IF(F13&lt;E13,"날짜 확인",F13-E13+1))</x:f>
        <x:v>37</x:v>
      </x:c>
      <x:c r="H13" s="51">
        <x:v>1</x:v>
      </x:c>
      <x:c r="I13" s="150"/>
      <x:c r="J13" s="151"/>
      <x:c r="K13" s="151"/>
      <x:c r="L13" s="151"/>
      <x:c r="M13" s="144"/>
      <x:c r="N13" s="142"/>
      <x:c r="O13" s="142"/>
      <x:c r="P13" s="142"/>
      <x:c r="Q13" s="142"/>
      <x:c r="R13" s="153"/>
      <x:c r="S13" s="144"/>
      <x:c r="T13" s="144"/>
      <x:c r="U13" s="144"/>
      <x:c r="V13" s="144"/>
      <x:c r="W13" s="155"/>
      <x:c r="X13" s="142"/>
      <x:c r="Y13" s="142"/>
      <x:c r="Z13" s="142"/>
      <x:c r="AA13" s="142"/>
      <x:c r="AB13" s="153"/>
      <x:c r="AC13" s="144"/>
      <x:c r="AD13" s="144"/>
      <x:c r="AE13" s="144"/>
      <x:c r="AF13" s="144"/>
      <x:c r="AG13" s="155"/>
      <x:c r="AH13" s="142"/>
      <x:c r="AI13" s="142"/>
      <x:c r="AJ13" s="142"/>
      <x:c r="AK13" s="142"/>
      <x:c r="AL13" s="153"/>
      <x:c r="AM13" s="144"/>
      <x:c r="AN13" s="144"/>
      <x:c r="AO13" s="144"/>
      <x:c r="AP13" s="144"/>
      <x:c r="AQ13" s="144"/>
      <x:c r="AR13" s="49"/>
      <x:c r="AS13" s="49"/>
      <x:c r="AT13" s="49"/>
      <x:c r="AU13" s="49"/>
      <x:c r="AV13" s="49"/>
    </x:row>
    <x:row r="14" ht="17.25" customHeight="1">
      <x:c r="A14" s="55" t="s">
        <x:v>17</x:v>
      </x:c>
      <x:c r="B14" s="172" t="str">
        <x:v>WBS·일정 관리</x:v>
      </x:c>
      <x:c r="C14" s="39" t="str">
        <x:v>김성준</x:v>
      </x:c>
      <x:c r="D14" s="40" t="s">
        <x:v>18</x:v>
      </x:c>
      <x:c r="E14" s="117">
        <x:v>45049</x:v>
      </x:c>
      <x:c r="F14" s="117">
        <x:v>45051</x:v>
      </x:c>
      <x:c r="G14" s="39" t="n">
        <x:f t="shared" si="0">IF(OR(E14="",F14=""),"",IF(F14&lt;E14,"날짜 확인",F14-E14+1))</x:f>
        <x:v>3</x:v>
      </x:c>
      <x:c r="H14" s="51">
        <x:v>1</x:v>
      </x:c>
      <x:c r="I14" s="150"/>
      <x:c r="J14" s="151"/>
      <x:c r="K14" s="147"/>
      <x:c r="L14" s="147"/>
      <x:c r="M14" s="144"/>
      <x:c r="N14" s="142"/>
      <x:c r="O14" s="142"/>
      <x:c r="P14" s="142"/>
      <x:c r="Q14" s="142"/>
      <x:c r="R14" s="142"/>
      <x:c r="S14" s="144"/>
      <x:c r="T14" s="144"/>
      <x:c r="U14" s="144"/>
      <x:c r="V14" s="144"/>
      <x:c r="W14" s="144"/>
      <x:c r="X14" s="142"/>
      <x:c r="Y14" s="142"/>
      <x:c r="Z14" s="142"/>
      <x:c r="AA14" s="142"/>
      <x:c r="AB14" s="142"/>
      <x:c r="AC14" s="144"/>
      <x:c r="AD14" s="144"/>
      <x:c r="AE14" s="144"/>
      <x:c r="AF14" s="144"/>
      <x:c r="AG14" s="144"/>
      <x:c r="AH14" s="142"/>
      <x:c r="AI14" s="142"/>
      <x:c r="AJ14" s="142"/>
      <x:c r="AK14" s="142"/>
      <x:c r="AL14" s="142"/>
      <x:c r="AM14" s="144"/>
      <x:c r="AN14" s="144"/>
      <x:c r="AO14" s="144"/>
      <x:c r="AP14" s="144"/>
      <x:c r="AQ14" s="144"/>
      <x:c r="AR14" s="49"/>
      <x:c r="AS14" s="49"/>
      <x:c r="AT14" s="49"/>
      <x:c r="AU14" s="49"/>
      <x:c r="AV14" s="49"/>
    </x:row>
    <x:row r="15" ht="17.25" customHeight="1">
      <x:c r="A15" s="55" t="s">
        <x:v>19</x:v>
      </x:c>
      <x:c r="B15" s="172" t="str">
        <x:v>도면 입출력·인식 요구사항 정의</x:v>
      </x:c>
      <x:c r="C15" s="39" t="str">
        <x:v>문홍식</x:v>
      </x:c>
      <x:c r="D15" s="40" t="s">
        <x:v>18</x:v>
      </x:c>
      <x:c r="E15" s="117">
        <x:v>45050</x:v>
      </x:c>
      <x:c r="F15" s="117">
        <x:v>45055</x:v>
      </x:c>
      <x:c r="G15" s="39" t="n">
        <x:f t="shared" si="0">IF(OR(E15="",F15=""),"",IF(F15&lt;E15,"날짜 확인",F15-E15+1))</x:f>
        <x:v>6</x:v>
      </x:c>
      <x:c r="H15" s="42">
        <x:v>1</x:v>
      </x:c>
      <x:c r="I15" s="145"/>
      <x:c r="J15" s="146"/>
      <x:c r="K15" s="144"/>
      <x:c r="L15" s="155"/>
      <x:c r="M15" s="155"/>
      <x:c r="N15" s="153"/>
      <x:c r="O15" s="153"/>
      <x:c r="P15" s="142"/>
      <x:c r="Q15" s="142"/>
      <x:c r="R15" s="142"/>
      <x:c r="S15" s="144"/>
      <x:c r="T15" s="144"/>
      <x:c r="U15" s="144"/>
      <x:c r="V15" s="144"/>
      <x:c r="W15" s="144"/>
      <x:c r="X15" s="142"/>
      <x:c r="Y15" s="142"/>
      <x:c r="Z15" s="142"/>
      <x:c r="AA15" s="142"/>
      <x:c r="AB15" s="142"/>
      <x:c r="AC15" s="144"/>
      <x:c r="AD15" s="144"/>
      <x:c r="AE15" s="144"/>
      <x:c r="AF15" s="144"/>
      <x:c r="AG15" s="144"/>
      <x:c r="AH15" s="142"/>
      <x:c r="AI15" s="142"/>
      <x:c r="AJ15" s="142"/>
      <x:c r="AK15" s="142"/>
      <x:c r="AL15" s="142"/>
      <x:c r="AM15" s="144"/>
      <x:c r="AN15" s="144"/>
      <x:c r="AO15" s="144"/>
      <x:c r="AP15" s="144"/>
      <x:c r="AQ15" s="144"/>
      <x:c r="AR15" s="49"/>
      <x:c r="AS15" s="49"/>
      <x:c r="AT15" s="49"/>
      <x:c r="AU15" s="49"/>
      <x:c r="AV15" s="49"/>
    </x:row>
    <x:row r="16" ht="15.75" customHeight="1">
      <x:c r="A16" s="55" t="s">
        <x:v>20</x:v>
      </x:c>
      <x:c r="B16" s="172" t="str">
        <x:v>모듈 구성·처리 흐름 설계</x:v>
      </x:c>
      <x:c r="C16" s="39" t="str">
        <x:v>김성준</x:v>
      </x:c>
      <x:c r="D16" s="40" t="s">
        <x:v>13</x:v>
      </x:c>
      <x:c r="E16" s="117">
        <x:v>45050</x:v>
      </x:c>
      <x:c r="F16" s="117">
        <x:v>45051</x:v>
      </x:c>
      <x:c r="G16" s="39" t="n">
        <x:f t="shared" si="0">IF(OR(E16="",F16=""),"",IF(F16&lt;E16,"날짜 확인",F16-E16+1))</x:f>
        <x:v>2</x:v>
      </x:c>
      <x:c r="H16" s="42">
        <x:v>1</x:v>
      </x:c>
      <x:c r="I16" s="156"/>
      <x:c r="J16" s="146"/>
      <x:c r="K16" s="157"/>
      <x:c r="L16" s="147"/>
      <x:c r="M16" s="147"/>
      <x:c r="N16" s="148"/>
      <x:c r="O16" s="148"/>
      <x:c r="P16" s="142"/>
      <x:c r="Q16" s="142"/>
      <x:c r="R16" s="142"/>
      <x:c r="S16" s="144"/>
      <x:c r="T16" s="144"/>
      <x:c r="U16" s="144"/>
      <x:c r="V16" s="144"/>
      <x:c r="W16" s="144"/>
      <x:c r="X16" s="142"/>
      <x:c r="Y16" s="142"/>
      <x:c r="Z16" s="142"/>
      <x:c r="AA16" s="142"/>
      <x:c r="AB16" s="142"/>
      <x:c r="AC16" s="144"/>
      <x:c r="AD16" s="144"/>
      <x:c r="AE16" s="144"/>
      <x:c r="AF16" s="144"/>
      <x:c r="AG16" s="144"/>
      <x:c r="AH16" s="142"/>
      <x:c r="AI16" s="142"/>
      <x:c r="AJ16" s="142"/>
      <x:c r="AK16" s="142"/>
      <x:c r="AL16" s="142"/>
      <x:c r="AM16" s="144"/>
      <x:c r="AN16" s="144"/>
      <x:c r="AO16" s="144"/>
      <x:c r="AP16" s="144"/>
      <x:c r="AQ16" s="144"/>
      <x:c r="AR16" s="49"/>
      <x:c r="AS16" s="49"/>
      <x:c r="AT16" s="49"/>
      <x:c r="AU16" s="49"/>
      <x:c r="AV16" s="49"/>
    </x:row>
    <x:row r="17" ht="17.25" customHeight="1">
      <x:c r="A17" s="55" t="s">
        <x:v>21</x:v>
      </x:c>
      <x:c r="B17" s="172" t="str">
        <x:v>개발·평가 계획서 작성</x:v>
      </x:c>
      <x:c r="C17" s="39" t="str">
        <x:v>이원석</x:v>
      </x:c>
      <x:c r="D17" s="40" t="s">
        <x:v>15</x:v>
      </x:c>
      <x:c r="E17" s="117">
        <x:v>45054</x:v>
      </x:c>
      <x:c r="F17" s="117">
        <x:v>45055</x:v>
      </x:c>
      <x:c r="G17" s="39" t="n">
        <x:f t="shared" si="0">IF(OR(E17="",F17=""),"",IF(F17&lt;E17,"날짜 확인",F17-E17+1))</x:f>
        <x:v>2</x:v>
      </x:c>
      <x:c r="H17" s="42">
        <x:v>1</x:v>
      </x:c>
      <x:c r="I17" s="139"/>
      <x:c r="J17" s="146"/>
      <x:c r="K17" s="144"/>
      <x:c r="L17" s="144"/>
      <x:c r="M17" s="144"/>
      <x:c r="N17" s="154"/>
      <x:c r="O17" s="154"/>
      <x:c r="P17" s="142"/>
      <x:c r="Q17" s="142"/>
      <x:c r="R17" s="142"/>
      <x:c r="S17" s="144"/>
      <x:c r="T17" s="144"/>
      <x:c r="U17" s="144"/>
      <x:c r="V17" s="144"/>
      <x:c r="W17" s="144"/>
      <x:c r="X17" s="142"/>
      <x:c r="Y17" s="142"/>
      <x:c r="Z17" s="142"/>
      <x:c r="AA17" s="142"/>
      <x:c r="AB17" s="142"/>
      <x:c r="AC17" s="144"/>
      <x:c r="AD17" s="144"/>
      <x:c r="AE17" s="144"/>
      <x:c r="AF17" s="144"/>
      <x:c r="AG17" s="144"/>
      <x:c r="AH17" s="142"/>
      <x:c r="AI17" s="142"/>
      <x:c r="AJ17" s="142"/>
      <x:c r="AK17" s="142"/>
      <x:c r="AL17" s="142"/>
      <x:c r="AM17" s="144"/>
      <x:c r="AN17" s="144"/>
      <x:c r="AO17" s="144"/>
      <x:c r="AP17" s="144"/>
      <x:c r="AQ17" s="144"/>
      <x:c r="AR17" s="49"/>
      <x:c r="AS17" s="49"/>
      <x:c r="AT17" s="49"/>
      <x:c r="AU17" s="49"/>
      <x:c r="AV17" s="49"/>
    </x:row>
    <x:row r="18" ht="17.25" customHeight="1">
      <x:c r="A18" s="64" t="s">
        <x:v>22</x:v>
      </x:c>
      <x:c r="B18" s="173" t="str">
        <x:v>프로젝트 계획 발표자료 제작</x:v>
      </x:c>
      <x:c r="C18" s="39" t="str">
        <x:v>김태훈</x:v>
      </x:c>
      <x:c r="D18" s="40" t="s">
        <x:v>23</x:v>
      </x:c>
      <x:c r="E18" s="117">
        <x:v>45050</x:v>
      </x:c>
      <x:c r="F18" s="117">
        <x:v>45055</x:v>
      </x:c>
      <x:c r="G18" s="39" t="n">
        <x:f t="shared" si="0">IF(OR(E18="",F18=""),"",IF(F18&lt;E18,"날짜 확인",F18-E18+1))</x:f>
        <x:v>6</x:v>
      </x:c>
      <x:c r="H18" s="42">
        <x:v>1</x:v>
      </x:c>
      <x:c r="I18" s="145"/>
      <x:c r="J18" s="146"/>
      <x:c r="K18" s="144"/>
      <x:c r="L18" s="149"/>
      <x:c r="M18" s="149"/>
      <x:c r="N18" s="158"/>
      <x:c r="O18" s="158"/>
      <x:c r="P18" s="159"/>
      <x:c r="Q18" s="159"/>
      <x:c r="R18" s="159"/>
      <x:c r="S18" s="144"/>
      <x:c r="T18" s="144"/>
      <x:c r="U18" s="144"/>
      <x:c r="V18" s="144"/>
      <x:c r="W18" s="144"/>
      <x:c r="X18" s="159"/>
      <x:c r="Y18" s="159"/>
      <x:c r="Z18" s="159"/>
      <x:c r="AA18" s="159"/>
      <x:c r="AB18" s="159"/>
      <x:c r="AC18" s="144"/>
      <x:c r="AD18" s="144"/>
      <x:c r="AE18" s="144"/>
      <x:c r="AF18" s="144"/>
      <x:c r="AG18" s="144"/>
      <x:c r="AH18" s="142"/>
      <x:c r="AI18" s="142"/>
      <x:c r="AJ18" s="142"/>
      <x:c r="AK18" s="142"/>
      <x:c r="AL18" s="142"/>
      <x:c r="AM18" s="144"/>
      <x:c r="AN18" s="144"/>
      <x:c r="AO18" s="144"/>
      <x:c r="AP18" s="144"/>
      <x:c r="AQ18" s="144"/>
      <x:c r="AR18" s="49"/>
      <x:c r="AS18" s="49"/>
      <x:c r="AT18" s="49"/>
      <x:c r="AU18" s="49"/>
      <x:c r="AV18" s="49"/>
    </x:row>
    <x:row r="19" ht="21" customHeight="1">
      <x:c r="A19" s="33">
        <x:v>2</x:v>
      </x:c>
      <x:c r="B19" s="174" t="str">
        <x:v>중간 점검</x:v>
      </x:c>
      <x:c r="C19" s="35"/>
      <x:c r="D19" s="35"/>
      <x:c r="E19" s="120"/>
      <x:c r="F19" s="120"/>
      <x:c r="G19" s="35" t="str">
        <x:f>IF(OR(E19="",F19=""),"",IF(F19&lt;E19,"날짜 확인",F19-E19+1))</x:f>
      </x:c>
      <x:c r="H19" s="35"/>
      <x:c r="I19" s="36"/>
      <x:c r="J19" s="37"/>
      <x:c r="K19" s="38"/>
      <x:c r="L19" s="38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  <x:c r="AA19" s="36"/>
      <x:c r="AB19" s="36"/>
      <x:c r="AC19" s="36"/>
      <x:c r="AD19" s="36"/>
      <x:c r="AE19" s="36"/>
      <x:c r="AF19" s="36"/>
      <x:c r="AG19" s="36"/>
      <x:c r="AH19" s="36"/>
      <x:c r="AI19" s="36"/>
      <x:c r="AJ19" s="36"/>
      <x:c r="AK19" s="36"/>
      <x:c r="AL19" s="36"/>
      <x:c r="AM19" s="36"/>
      <x:c r="AN19" s="36"/>
      <x:c r="AO19" s="36"/>
      <x:c r="AP19" s="36"/>
      <x:c r="AQ19" s="36"/>
      <x:c r="AR19" s="26"/>
      <x:c r="AS19" s="26"/>
      <x:c r="AT19" s="26"/>
      <x:c r="AU19" s="26"/>
      <x:c r="AV19" s="26"/>
    </x:row>
    <x:row r="20" ht="17.25" customHeight="1">
      <x:c r="A20" s="39">
        <x:v>2.1</x:v>
      </x:c>
      <x:c r="B20" s="172" t="str">
        <x:v>인식·변환 성능 중간 점검</x:v>
      </x:c>
      <x:c r="C20" s="39"/>
      <x:c r="D20" s="68"/>
      <x:c r="E20" s="117"/>
      <x:c r="F20" s="117"/>
      <x:c r="G20" s="39" t="str">
        <x:f>IF(OR(E20="",F20=""),"",IF(F20&lt;E20,"날짜 확인",F20-E20+1))</x:f>
      </x:c>
      <x:c r="H20" s="42"/>
      <x:c r="I20" s="139"/>
      <x:c r="J20" s="140"/>
      <x:c r="K20" s="141"/>
      <x:c r="L20" s="141"/>
      <x:c r="M20" s="141"/>
      <x:c r="N20" s="142"/>
      <x:c r="O20" s="142"/>
      <x:c r="P20" s="142"/>
      <x:c r="Q20" s="142"/>
      <x:c r="R20" s="142"/>
      <x:c r="S20" s="141"/>
      <x:c r="T20" s="141"/>
      <x:c r="U20" s="141"/>
      <x:c r="V20" s="141"/>
      <x:c r="W20" s="141"/>
      <x:c r="X20" s="142"/>
      <x:c r="Y20" s="142"/>
      <x:c r="Z20" s="142"/>
      <x:c r="AA20" s="142"/>
      <x:c r="AB20" s="142"/>
      <x:c r="AC20" s="141"/>
      <x:c r="AD20" s="141"/>
      <x:c r="AE20" s="141"/>
      <x:c r="AF20" s="141"/>
      <x:c r="AG20" s="141"/>
      <x:c r="AH20" s="143"/>
      <x:c r="AI20" s="143"/>
      <x:c r="AJ20" s="143"/>
      <x:c r="AK20" s="143"/>
      <x:c r="AL20" s="143"/>
      <x:c r="AM20" s="144"/>
      <x:c r="AN20" s="144"/>
      <x:c r="AO20" s="144"/>
      <x:c r="AP20" s="144"/>
      <x:c r="AQ20" s="144"/>
      <x:c r="AR20" s="49"/>
      <x:c r="AS20" s="49"/>
      <x:c r="AT20" s="49"/>
      <x:c r="AU20" s="49"/>
      <x:c r="AV20" s="49"/>
    </x:row>
    <x:row r="21" ht="17.25" customHeight="1">
      <x:c r="A21" s="55" t="s">
        <x:v>24</x:v>
      </x:c>
      <x:c r="B21" s="172" t="str">
        <x:v>인식·변환 중간 결과 정리</x:v>
      </x:c>
      <x:c r="C21" s="59" t="str">
        <x:v>문홍식</x:v>
      </x:c>
      <x:c r="D21" s="40" t="s">
        <x:v>15</x:v>
      </x:c>
      <x:c r="E21" s="117">
        <x:v>45068</x:v>
      </x:c>
      <x:c r="F21" s="117">
        <x:v>45072</x:v>
      </x:c>
      <x:c r="G21" s="39" t="n">
        <x:f t="shared" ref="G21:G22" si="1">IF(OR(E21="",F21=""),"",IF(F21&lt;E21,"날짜 확인",F21-E21+1))</x:f>
        <x:v>5</x:v>
      </x:c>
      <x:c r="H21" s="51">
        <x:v>1</x:v>
      </x:c>
      <x:c r="I21" s="145"/>
      <x:c r="J21" s="146"/>
      <x:c r="K21" s="144"/>
      <x:c r="L21" s="144"/>
      <x:c r="M21" s="144"/>
      <x:c r="N21" s="142"/>
      <x:c r="O21" s="142"/>
      <x:c r="P21" s="142"/>
      <x:c r="Q21" s="142"/>
      <x:c r="R21" s="142"/>
      <x:c r="S21" s="144"/>
      <x:c r="T21" s="144"/>
      <x:c r="U21" s="144"/>
      <x:c r="V21" s="144"/>
      <x:c r="W21" s="144"/>
      <x:c r="X21" s="153"/>
      <x:c r="Y21" s="142"/>
      <x:c r="Z21" s="142"/>
      <x:c r="AA21" s="153"/>
      <x:c r="AB21" s="153"/>
      <x:c r="AC21" s="141"/>
      <x:c r="AD21" s="141"/>
      <x:c r="AE21" s="160"/>
      <x:c r="AF21" s="161"/>
      <x:c r="AG21" s="161"/>
      <x:c r="AH21" s="142"/>
      <x:c r="AI21" s="142"/>
      <x:c r="AJ21" s="142"/>
      <x:c r="AK21" s="142"/>
      <x:c r="AL21" s="142"/>
      <x:c r="AM21" s="144"/>
      <x:c r="AN21" s="144"/>
      <x:c r="AO21" s="144"/>
      <x:c r="AP21" s="144"/>
      <x:c r="AQ21" s="144"/>
      <x:c r="AR21" s="49"/>
      <x:c r="AS21" s="49"/>
      <x:c r="AT21" s="49"/>
      <x:c r="AU21" s="49"/>
      <x:c r="AV21" s="49"/>
    </x:row>
    <x:row r="22" ht="17.25" customHeight="1">
      <x:c r="A22" s="55" t="s">
        <x:v>25</x:v>
      </x:c>
      <x:c r="B22" s="173" t="str">
        <x:v>중간 시연·발표자료 제작</x:v>
      </x:c>
      <x:c r="C22" s="59" t="str">
        <x:v>김성준, 김태훈</x:v>
      </x:c>
      <x:c r="D22" s="40" t="s">
        <x:v>23</x:v>
      </x:c>
      <x:c r="E22" s="117">
        <x:v>45071</x:v>
      </x:c>
      <x:c r="F22" s="117">
        <x:v>45072</x:v>
      </x:c>
      <x:c r="G22" s="39" t="n">
        <x:f t="shared" si="1">IF(OR(E22="",F22=""),"",IF(F22&lt;E22,"날짜 확인",F22-E22+1))</x:f>
        <x:v>2</x:v>
      </x:c>
      <x:c r="H22" s="51">
        <x:v>1</x:v>
      </x:c>
      <x:c r="I22" s="145"/>
      <x:c r="J22" s="146"/>
      <x:c r="K22" s="144"/>
      <x:c r="L22" s="144"/>
      <x:c r="M22" s="144"/>
      <x:c r="N22" s="142"/>
      <x:c r="O22" s="142"/>
      <x:c r="P22" s="142"/>
      <x:c r="Q22" s="142"/>
      <x:c r="R22" s="142"/>
      <x:c r="S22" s="144"/>
      <x:c r="T22" s="144"/>
      <x:c r="U22" s="144"/>
      <x:c r="V22" s="144"/>
      <x:c r="W22" s="144"/>
      <x:c r="X22" s="142"/>
      <x:c r="Y22" s="142"/>
      <x:c r="Z22" s="142"/>
      <x:c r="AA22" s="148"/>
      <x:c r="AB22" s="148"/>
      <x:c r="AC22" s="144"/>
      <x:c r="AD22" s="144"/>
      <x:c r="AE22" s="144"/>
      <x:c r="AF22" s="144"/>
      <x:c r="AG22" s="144"/>
      <x:c r="AH22" s="142"/>
      <x:c r="AI22" s="142"/>
      <x:c r="AJ22" s="142"/>
      <x:c r="AK22" s="142"/>
      <x:c r="AL22" s="142"/>
      <x:c r="AM22" s="144"/>
      <x:c r="AN22" s="144"/>
      <x:c r="AO22" s="144"/>
      <x:c r="AP22" s="144"/>
      <x:c r="AQ22" s="144"/>
      <x:c r="AR22" s="49"/>
      <x:c r="AS22" s="49"/>
      <x:c r="AT22" s="49"/>
      <x:c r="AU22" s="49"/>
      <x:c r="AV22" s="49"/>
    </x:row>
    <x:row r="23" ht="21" customHeight="1">
      <x:c r="A23" s="72">
        <x:v>3</x:v>
      </x:c>
      <x:c r="B23" s="174" t="str">
        <x:v>도면 데이터 준비</x:v>
      </x:c>
      <x:c r="C23" s="35"/>
      <x:c r="D23" s="35"/>
      <x:c r="E23" s="120"/>
      <x:c r="F23" s="120"/>
      <x:c r="G23" s="35" t="str">
        <x:f>IF(OR(E23="",F23=""),"",IF(F23&lt;E23,"날짜 확인",F23-E23+1))</x:f>
      </x:c>
      <x:c r="H23" s="35"/>
      <x:c r="I23" s="36"/>
      <x:c r="J23" s="37"/>
      <x:c r="K23" s="38"/>
      <x:c r="L23" s="38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  <x:c r="AA23" s="36"/>
      <x:c r="AB23" s="36"/>
      <x:c r="AC23" s="36"/>
      <x:c r="AD23" s="36"/>
      <x:c r="AE23" s="36"/>
      <x:c r="AF23" s="36"/>
      <x:c r="AG23" s="36"/>
      <x:c r="AH23" s="36"/>
      <x:c r="AI23" s="36"/>
      <x:c r="AJ23" s="36"/>
      <x:c r="AK23" s="36"/>
      <x:c r="AL23" s="36"/>
      <x:c r="AM23" s="36"/>
      <x:c r="AN23" s="36"/>
      <x:c r="AO23" s="36"/>
      <x:c r="AP23" s="36"/>
      <x:c r="AQ23" s="36"/>
      <x:c r="AR23" s="26"/>
      <x:c r="AS23" s="26"/>
      <x:c r="AT23" s="26"/>
      <x:c r="AU23" s="26"/>
      <x:c r="AV23" s="26"/>
    </x:row>
    <x:row r="24" ht="17.25" customHeight="1">
      <x:c r="A24" s="59">
        <x:v>3.1</x:v>
      </x:c>
      <x:c r="B24" s="172" t="str">
        <x:v>도면 수집·학습 데이터 구축</x:v>
      </x:c>
      <x:c r="C24" s="39"/>
      <x:c r="D24" s="68"/>
      <x:c r="E24" s="117"/>
      <x:c r="F24" s="117"/>
      <x:c r="G24" s="39" t="str">
        <x:f>IF(OR(E24="",F24=""),"",IF(F24&lt;E24,"날짜 확인",F24-E24+1))</x:f>
      </x:c>
      <x:c r="H24" s="42"/>
      <x:c r="I24" s="139"/>
      <x:c r="J24" s="140"/>
      <x:c r="K24" s="141"/>
      <x:c r="L24" s="141"/>
      <x:c r="M24" s="141"/>
      <x:c r="N24" s="142"/>
      <x:c r="O24" s="142"/>
      <x:c r="P24" s="142"/>
      <x:c r="Q24" s="142"/>
      <x:c r="R24" s="142"/>
      <x:c r="S24" s="141"/>
      <x:c r="T24" s="141"/>
      <x:c r="U24" s="141"/>
      <x:c r="V24" s="141"/>
      <x:c r="W24" s="141"/>
      <x:c r="X24" s="142"/>
      <x:c r="Y24" s="142"/>
      <x:c r="Z24" s="142"/>
      <x:c r="AA24" s="142"/>
      <x:c r="AB24" s="142"/>
      <x:c r="AC24" s="141"/>
      <x:c r="AD24" s="141"/>
      <x:c r="AE24" s="141"/>
      <x:c r="AF24" s="141"/>
      <x:c r="AG24" s="141"/>
      <x:c r="AH24" s="143"/>
      <x:c r="AI24" s="143"/>
      <x:c r="AJ24" s="143"/>
      <x:c r="AK24" s="143"/>
      <x:c r="AL24" s="143"/>
      <x:c r="AM24" s="144"/>
      <x:c r="AN24" s="144"/>
      <x:c r="AO24" s="144"/>
      <x:c r="AP24" s="144"/>
      <x:c r="AQ24" s="144"/>
      <x:c r="AR24" s="49"/>
      <x:c r="AS24" s="49"/>
      <x:c r="AT24" s="49"/>
      <x:c r="AU24" s="49"/>
      <x:c r="AV24" s="49"/>
    </x:row>
    <x:row r="25" ht="17.25" customHeight="1">
      <x:c r="A25" s="55" t="s">
        <x:v>26</x:v>
      </x:c>
      <x:c r="B25" s="172" t="str">
        <x:v>PDF 도면 수집·ROI 추출</x:v>
      </x:c>
      <x:c r="C25" s="59" t="str">
        <x:v>김태훈, 문홍식</x:v>
      </x:c>
      <x:c r="D25" s="68"/>
      <x:c r="E25" s="117">
        <x:v>45064</x:v>
      </x:c>
      <x:c r="F25" s="117">
        <x:v>45077</x:v>
      </x:c>
      <x:c r="G25" s="39" t="n">
        <x:f t="shared" ref="G25:G26" si="2">IF(OR(E25="",F25=""),"",IF(F25&lt;E25,"날짜 확인",F25-E25+1))</x:f>
        <x:v>14</x:v>
      </x:c>
      <x:c r="H25" s="51">
        <x:v>1</x:v>
      </x:c>
      <x:c r="I25" s="145"/>
      <x:c r="J25" s="146"/>
      <x:c r="K25" s="144"/>
      <x:c r="L25" s="144"/>
      <x:c r="M25" s="144"/>
      <x:c r="N25" s="142"/>
      <x:c r="O25" s="142"/>
      <x:c r="P25" s="142"/>
      <x:c r="Q25" s="142"/>
      <x:c r="R25" s="142"/>
      <x:c r="S25" s="144"/>
      <x:c r="T25" s="144"/>
      <x:c r="U25" s="144"/>
      <x:c r="V25" s="162"/>
      <x:c r="W25" s="162"/>
      <x:c r="X25" s="163"/>
      <x:c r="Y25" s="163"/>
      <x:c r="Z25" s="163"/>
      <x:c r="AA25" s="163"/>
      <x:c r="AB25" s="163"/>
      <x:c r="AC25" s="162"/>
      <x:c r="AD25" s="162"/>
      <x:c r="AE25" s="162"/>
      <x:c r="AF25" s="144"/>
      <x:c r="AG25" s="161"/>
      <x:c r="AH25" s="142"/>
      <x:c r="AI25" s="142"/>
      <x:c r="AJ25" s="142"/>
      <x:c r="AK25" s="142"/>
      <x:c r="AL25" s="142"/>
      <x:c r="AM25" s="144"/>
      <x:c r="AN25" s="144"/>
      <x:c r="AO25" s="144"/>
      <x:c r="AP25" s="144"/>
      <x:c r="AQ25" s="144"/>
      <x:c r="AR25" s="49"/>
      <x:c r="AS25" s="49"/>
      <x:c r="AT25" s="49"/>
      <x:c r="AU25" s="49"/>
      <x:c r="AV25" s="49"/>
    </x:row>
    <x:row r="26" ht="17.25" customHeight="1">
      <x:c r="A26" s="55" t="s">
        <x:v>27</x:v>
      </x:c>
      <x:c r="B26" s="172" t="str">
        <x:v>기호 라벨링·학습 데이터 분할</x:v>
      </x:c>
      <x:c r="C26" s="39" t="s">
        <x:v>11</x:v>
      </x:c>
      <x:c r="D26" s="68"/>
      <x:c r="E26" s="117">
        <x:v>45077</x:v>
      </x:c>
      <x:c r="F26" s="117">
        <x:v>45086</x:v>
      </x:c>
      <x:c r="G26" s="39" t="n">
        <x:f t="shared" si="2">IF(OR(E26="",F26=""),"",IF(F26&lt;E26,"날짜 확인",F26-E26+1))</x:f>
        <x:v>10</x:v>
      </x:c>
      <x:c r="H26" s="51">
        <x:v>1</x:v>
      </x:c>
      <x:c r="I26" s="145"/>
      <x:c r="J26" s="146"/>
      <x:c r="K26" s="144"/>
      <x:c r="L26" s="144"/>
      <x:c r="M26" s="144"/>
      <x:c r="N26" s="142"/>
      <x:c r="O26" s="142"/>
      <x:c r="P26" s="142"/>
      <x:c r="Q26" s="142"/>
      <x:c r="R26" s="142"/>
      <x:c r="S26" s="144"/>
      <x:c r="T26" s="144"/>
      <x:c r="U26" s="144"/>
      <x:c r="V26" s="144"/>
      <x:c r="W26" s="144"/>
      <x:c r="X26" s="142"/>
      <x:c r="Y26" s="142"/>
      <x:c r="Z26" s="142"/>
      <x:c r="AA26" s="142"/>
      <x:c r="AB26" s="142"/>
      <x:c r="AC26" s="144"/>
      <x:c r="AD26" s="144"/>
      <x:c r="AE26" s="147"/>
      <x:c r="AF26" s="147"/>
      <x:c r="AG26" s="147"/>
      <x:c r="AH26" s="148"/>
      <x:c r="AI26" s="142"/>
      <x:c r="AJ26" s="148"/>
      <x:c r="AK26" s="148"/>
      <x:c r="AL26" s="148"/>
      <x:c r="AM26" s="144"/>
      <x:c r="AN26" s="144"/>
      <x:c r="AO26" s="144"/>
      <x:c r="AP26" s="144"/>
      <x:c r="AQ26" s="144"/>
      <x:c r="AR26" s="49"/>
      <x:c r="AS26" s="49"/>
      <x:c r="AT26" s="49"/>
      <x:c r="AU26" s="49"/>
      <x:c r="AV26" s="49"/>
    </x:row>
    <x:row r="27" ht="21" customHeight="1">
      <x:c r="A27" s="72">
        <x:v>4</x:v>
      </x:c>
      <x:c r="B27" s="174" t="str">
        <x:v>도면 인식·CAD 변환 개발</x:v>
      </x:c>
      <x:c r="C27" s="35"/>
      <x:c r="D27" s="35"/>
      <x:c r="E27" s="120"/>
      <x:c r="F27" s="120"/>
      <x:c r="G27" s="35" t="str">
        <x:f>IF(OR(E27="",F27=""),"",IF(F27&lt;E27,"날짜 확인",F27-E27+1))</x:f>
      </x:c>
      <x:c r="H27" s="35"/>
      <x:c r="I27" s="36"/>
      <x:c r="J27" s="37"/>
      <x:c r="K27" s="38"/>
      <x:c r="L27" s="38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  <x:c r="AA27" s="36"/>
      <x:c r="AB27" s="36"/>
      <x:c r="AC27" s="36"/>
      <x:c r="AD27" s="36"/>
      <x:c r="AE27" s="36"/>
      <x:c r="AF27" s="36"/>
      <x:c r="AG27" s="36"/>
      <x:c r="AH27" s="36"/>
      <x:c r="AI27" s="36"/>
      <x:c r="AJ27" s="36"/>
      <x:c r="AK27" s="36"/>
      <x:c r="AL27" s="36"/>
      <x:c r="AM27" s="36"/>
      <x:c r="AN27" s="36"/>
      <x:c r="AO27" s="36"/>
      <x:c r="AP27" s="36"/>
      <x:c r="AQ27" s="36"/>
      <x:c r="AR27" s="26"/>
      <x:c r="AS27" s="26"/>
      <x:c r="AT27" s="26"/>
      <x:c r="AU27" s="26"/>
      <x:c r="AV27" s="26"/>
    </x:row>
    <x:row r="28" ht="17.25" customHeight="1">
      <x:c r="A28" s="39" t="str">
        <x:v>4.1</x:v>
      </x:c>
      <x:c r="B28" s="172" t="str">
        <x:v>OCR·기호·배선 인식</x:v>
      </x:c>
      <x:c r="C28" s="39"/>
      <x:c r="D28" s="40"/>
      <x:c r="E28" s="117"/>
      <x:c r="F28" s="117"/>
      <x:c r="G28" s="39" t="str">
        <x:f>IF(OR(E28="",F28=""),"",IF(F28&lt;E28,"날짜 확인",F28-E28+1))</x:f>
      </x:c>
      <x:c r="H28" s="42"/>
      <x:c r="I28" s="139"/>
      <x:c r="J28" s="139"/>
      <x:c r="K28" s="140"/>
      <x:c r="L28" s="164"/>
      <x:c r="M28" s="165"/>
      <x:c r="N28" s="142"/>
      <x:c r="O28" s="142"/>
      <x:c r="P28" s="142"/>
      <x:c r="Q28" s="142"/>
      <x:c r="R28" s="142"/>
      <x:c r="S28" s="141"/>
      <x:c r="T28" s="141"/>
      <x:c r="U28" s="141"/>
      <x:c r="V28" s="141"/>
      <x:c r="W28" s="144"/>
      <x:c r="X28" s="142"/>
      <x:c r="Y28" s="142"/>
      <x:c r="Z28" s="142"/>
      <x:c r="AA28" s="142"/>
      <x:c r="AB28" s="142"/>
      <x:c r="AC28" s="141"/>
      <x:c r="AD28" s="141"/>
      <x:c r="AE28" s="141"/>
      <x:c r="AF28" s="141"/>
      <x:c r="AG28" s="141"/>
      <x:c r="AH28" s="143"/>
      <x:c r="AI28" s="143"/>
      <x:c r="AJ28" s="143"/>
      <x:c r="AK28" s="143"/>
      <x:c r="AL28" s="143"/>
      <x:c r="AM28" s="144"/>
      <x:c r="AN28" s="144"/>
      <x:c r="AO28" s="144"/>
      <x:c r="AP28" s="144"/>
      <x:c r="AQ28" s="144"/>
      <x:c r="AR28" s="49"/>
      <x:c r="AS28" s="49"/>
      <x:c r="AT28" s="49"/>
      <x:c r="AU28" s="49"/>
      <x:c r="AV28" s="49"/>
    </x:row>
    <x:row r="29" ht="17.25" customHeight="1">
      <x:c r="A29" s="56" t="str">
        <x:v>4.1.1</x:v>
      </x:c>
      <x:c r="B29" s="172" t="str">
        <x:v>PDF·이미지 입력·전처리</x:v>
      </x:c>
      <x:c r="C29" s="39" t="s">
        <x:v>11</x:v>
      </x:c>
      <x:c r="D29" s="40" t="s">
        <x:v>28</x:v>
      </x:c>
      <x:c r="E29" s="117" t="d">
        <x:v>2023-05-03T00:00:00.000Z</x:v>
      </x:c>
      <x:c r="F29" s="117">
        <x:v>45055</x:v>
      </x:c>
      <x:c r="G29" s="39" t="n">
        <x:f>IF(OR(E29="",F29=""),"",IF(F29&lt;E29,"날짜 확인",F29-E29+1))</x:f>
        <x:v>7</x:v>
      </x:c>
      <x:c r="H29" s="42">
        <x:v>1</x:v>
      </x:c>
      <x:c r="I29" s="145"/>
      <x:c r="J29" s="146"/>
      <x:c r="K29" s="147"/>
      <x:c r="L29" s="147"/>
      <x:c r="M29" s="147"/>
      <x:c r="N29" s="148"/>
      <x:c r="O29" s="148"/>
      <x:c r="P29" s="142"/>
      <x:c r="Q29" s="142"/>
      <x:c r="R29" s="142"/>
      <x:c r="S29" s="141"/>
      <x:c r="T29" s="141"/>
      <x:c r="U29" s="141"/>
      <x:c r="V29" s="141"/>
      <x:c r="W29" s="141"/>
      <x:c r="X29" s="142"/>
      <x:c r="Y29" s="142"/>
      <x:c r="Z29" s="142"/>
      <x:c r="AA29" s="142"/>
      <x:c r="AB29" s="142"/>
      <x:c r="AC29" s="144"/>
      <x:c r="AD29" s="144"/>
      <x:c r="AE29" s="144"/>
      <x:c r="AF29" s="144"/>
      <x:c r="AG29" s="144"/>
      <x:c r="AH29" s="142"/>
      <x:c r="AI29" s="142"/>
      <x:c r="AJ29" s="142"/>
      <x:c r="AK29" s="142"/>
      <x:c r="AL29" s="142"/>
      <x:c r="AM29" s="144"/>
      <x:c r="AN29" s="144"/>
      <x:c r="AO29" s="144"/>
      <x:c r="AP29" s="144"/>
      <x:c r="AQ29" s="144"/>
      <x:c r="AR29" s="49"/>
      <x:c r="AS29" s="49"/>
      <x:c r="AT29" s="49"/>
      <x:c r="AU29" s="49"/>
      <x:c r="AV29" s="49"/>
    </x:row>
    <x:row r="30" ht="17.25" customHeight="1">
      <x:c r="A30" s="56" t="str">
        <x:v>4.1.2</x:v>
      </x:c>
      <x:c r="B30" s="172" t="str">
        <x:v>PaddleOCR 문자·치수 인식</x:v>
      </x:c>
      <x:c r="C30" s="39" t="s">
        <x:v>11</x:v>
      </x:c>
      <x:c r="D30" s="40" t="s">
        <x:v>28</x:v>
      </x:c>
      <x:c r="E30" s="117" t="d">
        <x:v>2023-05-10T00:00:00.000Z</x:v>
      </x:c>
      <x:c r="F30" s="117">
        <x:v>45069</x:v>
      </x:c>
      <x:c r="G30" s="39" t="n">
        <x:f>IF(OR(E30="",F30=""),"",IF(F30&lt;E30,"날짜 확인",F30-E30+1))</x:f>
        <x:v>14</x:v>
      </x:c>
      <x:c r="H30" s="51">
        <x:v>1</x:v>
      </x:c>
      <x:c r="I30" s="145"/>
      <x:c r="J30" s="146"/>
      <x:c r="K30" s="146"/>
      <x:c r="L30" s="146"/>
      <x:c r="M30" s="146"/>
      <x:c r="N30" s="142"/>
      <x:c r="O30" s="142"/>
      <x:c r="P30" s="148"/>
      <x:c r="Q30" s="148"/>
      <x:c r="R30" s="148"/>
      <x:c r="S30" s="147"/>
      <x:c r="T30" s="147"/>
      <x:c r="U30" s="147"/>
      <x:c r="V30" s="147"/>
      <x:c r="W30" s="147"/>
      <x:c r="X30" s="148"/>
      <x:c r="Y30" s="148"/>
      <x:c r="Z30" s="142"/>
      <x:c r="AA30" s="142"/>
      <x:c r="AB30" s="142"/>
      <x:c r="AC30" s="144"/>
      <x:c r="AD30" s="144"/>
      <x:c r="AE30" s="144"/>
      <x:c r="AF30" s="144"/>
      <x:c r="AG30" s="144"/>
      <x:c r="AH30" s="142"/>
      <x:c r="AI30" s="142"/>
      <x:c r="AJ30" s="142"/>
      <x:c r="AK30" s="142"/>
      <x:c r="AL30" s="142"/>
      <x:c r="AM30" s="144"/>
      <x:c r="AN30" s="144"/>
      <x:c r="AO30" s="144"/>
      <x:c r="AP30" s="144"/>
      <x:c r="AQ30" s="144"/>
      <x:c r="AR30" s="49"/>
      <x:c r="AS30" s="49"/>
      <x:c r="AT30" s="49"/>
      <x:c r="AU30" s="49"/>
      <x:c r="AV30" s="49"/>
    </x:row>
    <x:row r="31" ht="17.25" customHeight="1">
      <x:c r="A31" s="56" t="str">
        <x:v>4.1.3</x:v>
      </x:c>
      <x:c r="B31" s="172" t="str">
        <x:v>YOLO 기호 검출·학습</x:v>
      </x:c>
      <x:c r="C31" s="39" t="s">
        <x:v>11</x:v>
      </x:c>
      <x:c r="D31" s="40" t="s">
        <x:v>28</x:v>
      </x:c>
      <x:c r="E31" s="117">
        <x:v>45056</x:v>
      </x:c>
      <x:c r="F31" s="117">
        <x:v>45085</x:v>
      </x:c>
      <x:c r="G31" s="39" t="n">
        <x:f t="shared" ref="G31:G32" si="3">IF(OR(E31="",F31=""),"",IF(F31&lt;E31,"날짜 확인",F31-E31+1))</x:f>
        <x:v>30</x:v>
      </x:c>
      <x:c r="H31" s="75">
        <x:v>1</x:v>
      </x:c>
      <x:c r="I31" s="145"/>
      <x:c r="J31" s="146"/>
      <x:c r="K31" s="144"/>
      <x:c r="L31" s="144"/>
      <x:c r="M31" s="144"/>
      <x:c r="N31" s="142"/>
      <x:c r="O31" s="142"/>
      <x:c r="P31" s="142"/>
      <x:c r="Q31" s="142"/>
      <x:c r="R31" s="142"/>
      <x:c r="S31" s="141"/>
      <x:c r="T31" s="141"/>
      <x:c r="U31" s="147"/>
      <x:c r="V31" s="147"/>
      <x:c r="W31" s="147"/>
      <x:c r="X31" s="148"/>
      <x:c r="Y31" s="148"/>
      <x:c r="Z31" s="148"/>
      <x:c r="AA31" s="148"/>
      <x:c r="AB31" s="142"/>
      <x:c r="AC31" s="144"/>
      <x:c r="AD31" s="144"/>
      <x:c r="AE31" s="144"/>
      <x:c r="AF31" s="144"/>
      <x:c r="AG31" s="144"/>
      <x:c r="AH31" s="142"/>
      <x:c r="AI31" s="142"/>
      <x:c r="AJ31" s="142"/>
      <x:c r="AK31" s="142"/>
      <x:c r="AL31" s="142"/>
      <x:c r="AM31" s="144"/>
      <x:c r="AN31" s="144"/>
      <x:c r="AO31" s="144"/>
      <x:c r="AP31" s="144"/>
      <x:c r="AQ31" s="144"/>
      <x:c r="AR31" s="49"/>
      <x:c r="AS31" s="49"/>
      <x:c r="AT31" s="49"/>
      <x:c r="AU31" s="49"/>
      <x:c r="AV31" s="49"/>
    </x:row>
    <x:row r="32" ht="17.25" customHeight="1">
      <x:c r="A32" s="56" t="str">
        <x:v>4.1.4</x:v>
      </x:c>
      <x:c r="B32" s="172" t="str">
        <x:v>배선 벡터화·연결 후보 그래프</x:v>
      </x:c>
      <x:c r="C32" s="39" t="s">
        <x:v>11</x:v>
      </x:c>
      <x:c r="D32" s="40" t="s">
        <x:v>28</x:v>
      </x:c>
      <x:c r="E32" s="117">
        <x:v>45056</x:v>
      </x:c>
      <x:c r="F32" s="117">
        <x:v>45085</x:v>
      </x:c>
      <x:c r="G32" s="39" t="n">
        <x:f t="shared" si="3">IF(OR(E32="",F32=""),"",IF(F32&lt;E32,"날짜 확인",F32-E32+1))</x:f>
        <x:v>30</x:v>
      </x:c>
      <x:c r="H32" s="51">
        <x:v>1</x:v>
      </x:c>
      <x:c r="I32" s="145"/>
      <x:c r="J32" s="146"/>
      <x:c r="K32" s="144"/>
      <x:c r="L32" s="144"/>
      <x:c r="M32" s="144"/>
      <x:c r="N32" s="142"/>
      <x:c r="O32" s="142"/>
      <x:c r="P32" s="148"/>
      <x:c r="Q32" s="148"/>
      <x:c r="R32" s="148"/>
      <x:c r="S32" s="147"/>
      <x:c r="T32" s="147"/>
      <x:c r="U32" s="147"/>
      <x:c r="V32" s="147"/>
      <x:c r="W32" s="147"/>
      <x:c r="X32" s="148"/>
      <x:c r="Y32" s="148"/>
      <x:c r="Z32" s="148"/>
      <x:c r="AA32" s="148"/>
      <x:c r="AB32" s="142"/>
      <x:c r="AC32" s="144"/>
      <x:c r="AD32" s="144"/>
      <x:c r="AE32" s="147"/>
      <x:c r="AF32" s="147"/>
      <x:c r="AG32" s="147"/>
      <x:c r="AH32" s="142"/>
      <x:c r="AI32" s="142"/>
      <x:c r="AJ32" s="148"/>
      <x:c r="AK32" s="148"/>
      <x:c r="AL32" s="142"/>
      <x:c r="AM32" s="144"/>
      <x:c r="AN32" s="144"/>
      <x:c r="AO32" s="144"/>
      <x:c r="AP32" s="144"/>
      <x:c r="AQ32" s="144"/>
      <x:c r="AR32" s="49"/>
      <x:c r="AS32" s="49"/>
      <x:c r="AT32" s="49"/>
      <x:c r="AU32" s="49"/>
      <x:c r="AV32" s="49"/>
    </x:row>
    <x:row r="33" ht="17.25" customHeight="1">
      <x:c r="A33" s="39" t="str">
        <x:v>4.2</x:v>
      </x:c>
      <x:c r="B33" s="172" t="str">
        <x:v>의미 구조화·CAD 출력</x:v>
      </x:c>
      <x:c r="C33" s="39"/>
      <x:c r="D33" s="40"/>
      <x:c r="E33" s="117"/>
      <x:c r="F33" s="117"/>
      <x:c r="G33" s="39" t="str">
        <x:f>IF(OR(E33="",F33=""),"",IF(F33&lt;E33,"날짜 확인",F33-E33+1))</x:f>
      </x:c>
      <x:c r="H33" s="42"/>
      <x:c r="I33" s="145"/>
      <x:c r="J33" s="146"/>
      <x:c r="K33" s="144"/>
      <x:c r="L33" s="144"/>
      <x:c r="M33" s="144"/>
      <x:c r="N33" s="142"/>
      <x:c r="O33" s="142"/>
      <x:c r="P33" s="142"/>
      <x:c r="Q33" s="142"/>
      <x:c r="R33" s="142"/>
      <x:c r="S33" s="141"/>
      <x:c r="T33" s="141"/>
      <x:c r="U33" s="141"/>
      <x:c r="V33" s="141"/>
      <x:c r="W33" s="144"/>
      <x:c r="X33" s="142"/>
      <x:c r="Y33" s="142"/>
      <x:c r="Z33" s="142"/>
      <x:c r="AA33" s="142"/>
      <x:c r="AB33" s="142"/>
      <x:c r="AC33" s="144"/>
      <x:c r="AD33" s="144"/>
      <x:c r="AE33" s="144"/>
      <x:c r="AF33" s="144"/>
      <x:c r="AG33" s="144"/>
      <x:c r="AH33" s="142"/>
      <x:c r="AI33" s="142"/>
      <x:c r="AJ33" s="142"/>
      <x:c r="AK33" s="142"/>
      <x:c r="AL33" s="142"/>
      <x:c r="AM33" s="144"/>
      <x:c r="AN33" s="144"/>
      <x:c r="AO33" s="144"/>
      <x:c r="AP33" s="144"/>
      <x:c r="AQ33" s="144"/>
      <x:c r="AR33" s="49"/>
      <x:c r="AS33" s="49"/>
      <x:c r="AT33" s="49"/>
      <x:c r="AU33" s="49"/>
      <x:c r="AV33" s="49"/>
    </x:row>
    <x:row r="34" ht="17.25" customHeight="1">
      <x:c r="A34" s="55" t="str">
        <x:v>4.2.1</x:v>
      </x:c>
      <x:c r="B34" s="172" t="str">
        <x:v>의미 JSON·축척·속성 규칙 적용</x:v>
      </x:c>
      <x:c r="C34" s="59" t="str">
        <x:v>김성준, 이원석</x:v>
      </x:c>
      <x:c r="D34" s="40" t="s">
        <x:v>28</x:v>
      </x:c>
      <x:c r="E34" s="117">
        <x:v>45070</x:v>
      </x:c>
      <x:c r="F34" s="117">
        <x:v>45090</x:v>
      </x:c>
      <x:c r="G34" s="39" t="n">
        <x:f t="shared" ref="G34:G35" si="4">IF(OR(E34="",F34=""),"",IF(F34&lt;E34,"날짜 확인",F34-E34+1))</x:f>
        <x:v>21</x:v>
      </x:c>
      <x:c r="H34" s="51">
        <x:v>1</x:v>
      </x:c>
      <x:c r="I34" s="145"/>
      <x:c r="J34" s="146"/>
      <x:c r="K34" s="144"/>
      <x:c r="L34" s="144"/>
      <x:c r="M34" s="144"/>
      <x:c r="N34" s="142"/>
      <x:c r="O34" s="142"/>
      <x:c r="P34" s="142"/>
      <x:c r="Q34" s="142"/>
      <x:c r="R34" s="142"/>
      <x:c r="S34" s="144"/>
      <x:c r="T34" s="144"/>
      <x:c r="U34" s="144"/>
      <x:c r="V34" s="144"/>
      <x:c r="W34" s="144"/>
      <x:c r="X34" s="142"/>
      <x:c r="Y34" s="142"/>
      <x:c r="Z34" s="148"/>
      <x:c r="AA34" s="148"/>
      <x:c r="AB34" s="142"/>
      <x:c r="AC34" s="147"/>
      <x:c r="AD34" s="147"/>
      <x:c r="AE34" s="147"/>
      <x:c r="AF34" s="144"/>
      <x:c r="AG34" s="144"/>
      <x:c r="AH34" s="148"/>
      <x:c r="AI34" s="148"/>
      <x:c r="AJ34" s="148"/>
      <x:c r="AK34" s="148"/>
      <x:c r="AL34" s="148"/>
      <x:c r="AM34" s="147"/>
      <x:c r="AN34" s="147"/>
      <x:c r="AO34" s="144"/>
      <x:c r="AP34" s="144"/>
      <x:c r="AQ34" s="144"/>
      <x:c r="AR34" s="49"/>
      <x:c r="AS34" s="49"/>
      <x:c r="AT34" s="49"/>
      <x:c r="AU34" s="49"/>
      <x:c r="AV34" s="49"/>
    </x:row>
    <x:row r="35" ht="17.25" customHeight="1">
      <x:c r="A35" s="55" t="str">
        <x:v>4.2.2</x:v>
      </x:c>
      <x:c r="B35" s="172" t="str">
        <x:v>DXF 레이어·블록·문자 변환</x:v>
      </x:c>
      <x:c r="C35" s="59" t="str">
        <x:v>김성준</x:v>
      </x:c>
      <x:c r="D35" s="40" t="s">
        <x:v>28</x:v>
      </x:c>
      <x:c r="E35" s="117">
        <x:v>45084</x:v>
      </x:c>
      <x:c r="F35" s="117">
        <x:v>45089</x:v>
      </x:c>
      <x:c r="G35" s="39" t="n">
        <x:f t="shared" si="4">IF(OR(E35="",F35=""),"",IF(F35&lt;E35,"날짜 확인",F35-E35+1))</x:f>
        <x:v>6</x:v>
      </x:c>
      <x:c r="H35" s="51">
        <x:v>1</x:v>
      </x:c>
      <x:c r="I35" s="145"/>
      <x:c r="J35" s="146"/>
      <x:c r="K35" s="144"/>
      <x:c r="L35" s="144"/>
      <x:c r="M35" s="144"/>
      <x:c r="N35" s="142"/>
      <x:c r="O35" s="142"/>
      <x:c r="P35" s="142"/>
      <x:c r="Q35" s="142"/>
      <x:c r="R35" s="142"/>
      <x:c r="S35" s="144"/>
      <x:c r="T35" s="144"/>
      <x:c r="U35" s="144"/>
      <x:c r="V35" s="144"/>
      <x:c r="W35" s="144"/>
      <x:c r="X35" s="142"/>
      <x:c r="Y35" s="142"/>
      <x:c r="Z35" s="142"/>
      <x:c r="AA35" s="142"/>
      <x:c r="AB35" s="142"/>
      <x:c r="AC35" s="144"/>
      <x:c r="AD35" s="144"/>
      <x:c r="AE35" s="144"/>
      <x:c r="AF35" s="144"/>
      <x:c r="AG35" s="144"/>
      <x:c r="AH35" s="142"/>
      <x:c r="AI35" s="142"/>
      <x:c r="AJ35" s="148"/>
      <x:c r="AK35" s="142"/>
      <x:c r="AL35" s="148"/>
      <x:c r="AM35" s="147"/>
      <x:c r="AN35" s="144"/>
      <x:c r="AO35" s="144"/>
      <x:c r="AP35" s="144"/>
      <x:c r="AQ35" s="144"/>
      <x:c r="AR35" s="49"/>
      <x:c r="AS35" s="49"/>
      <x:c r="AT35" s="49"/>
      <x:c r="AU35" s="49"/>
      <x:c r="AV35" s="49"/>
    </x:row>
    <x:row r="36" ht="17.25" customHeight="1">
      <x:c r="A36" s="39" t="str">
        <x:v>4.3</x:v>
      </x:c>
      <x:c r="B36" s="175" t="str">
        <x:v>개정 도면 비교·검토 화면</x:v>
      </x:c>
      <x:c r="C36" s="39"/>
      <x:c r="D36" s="40"/>
      <x:c r="E36" s="117"/>
      <x:c r="F36" s="117"/>
      <x:c r="G36" s="39" t="str">
        <x:f>IF(OR(E36="",F36=""),"",IF(F36&lt;E36,"날짜 확인",F36-E36+1))</x:f>
      </x:c>
      <x:c r="H36" s="77"/>
      <x:c r="I36" s="145"/>
      <x:c r="J36" s="146"/>
      <x:c r="K36" s="144"/>
      <x:c r="L36" s="144"/>
      <x:c r="M36" s="144"/>
      <x:c r="N36" s="142"/>
      <x:c r="O36" s="142"/>
      <x:c r="P36" s="142"/>
      <x:c r="Q36" s="142"/>
      <x:c r="R36" s="142"/>
      <x:c r="S36" s="141"/>
      <x:c r="T36" s="141"/>
      <x:c r="U36" s="141"/>
      <x:c r="V36" s="141"/>
      <x:c r="W36" s="144"/>
      <x:c r="X36" s="142"/>
      <x:c r="Y36" s="142"/>
      <x:c r="Z36" s="142"/>
      <x:c r="AA36" s="142"/>
      <x:c r="AB36" s="142"/>
      <x:c r="AC36" s="144"/>
      <x:c r="AD36" s="144"/>
      <x:c r="AE36" s="144"/>
      <x:c r="AF36" s="144"/>
      <x:c r="AG36" s="144"/>
      <x:c r="AH36" s="142"/>
      <x:c r="AI36" s="142"/>
      <x:c r="AJ36" s="142"/>
      <x:c r="AK36" s="142"/>
      <x:c r="AL36" s="142"/>
      <x:c r="AM36" s="144"/>
      <x:c r="AN36" s="144"/>
      <x:c r="AO36" s="144"/>
      <x:c r="AP36" s="144"/>
      <x:c r="AQ36" s="144"/>
      <x:c r="AR36" s="49"/>
      <x:c r="AS36" s="49"/>
      <x:c r="AT36" s="49"/>
      <x:c r="AU36" s="49"/>
      <x:c r="AV36" s="49"/>
    </x:row>
    <x:row r="37" ht="17.25" customHeight="1">
      <x:c r="A37" s="56" t="str">
        <x:v>4.3.1</x:v>
      </x:c>
      <x:c r="B37" s="172" t="str">
        <x:v>도면 정렬·LLM 분석·검토 UI</x:v>
      </x:c>
      <x:c r="C37" s="59" t="str">
        <x:v>김성준</x:v>
      </x:c>
      <x:c r="D37" s="40" t="s">
        <x:v>28</x:v>
      </x:c>
      <x:c r="E37" s="117">
        <x:v>45086</x:v>
      </x:c>
      <x:c r="F37" s="118">
        <x:v>45092</x:v>
      </x:c>
      <x:c r="G37" s="39" t="n">
        <x:f>IF(OR(E37="",F37=""),"",IF(F37&lt;E37,"날짜 확인",F37-E37+1))</x:f>
        <x:v>7</x:v>
      </x:c>
      <x:c r="H37" s="51">
        <x:v>1</x:v>
      </x:c>
      <x:c r="I37" s="145"/>
      <x:c r="J37" s="146"/>
      <x:c r="K37" s="144"/>
      <x:c r="L37" s="144"/>
      <x:c r="M37" s="144"/>
      <x:c r="N37" s="142"/>
      <x:c r="O37" s="142"/>
      <x:c r="P37" s="142"/>
      <x:c r="Q37" s="142"/>
      <x:c r="R37" s="142"/>
      <x:c r="S37" s="141"/>
      <x:c r="T37" s="141"/>
      <x:c r="U37" s="141"/>
      <x:c r="V37" s="141"/>
      <x:c r="W37" s="144"/>
      <x:c r="X37" s="142"/>
      <x:c r="Y37" s="142"/>
      <x:c r="Z37" s="142"/>
      <x:c r="AA37" s="142"/>
      <x:c r="AB37" s="142"/>
      <x:c r="AC37" s="144"/>
      <x:c r="AD37" s="144"/>
      <x:c r="AE37" s="144"/>
      <x:c r="AF37" s="144"/>
      <x:c r="AG37" s="144"/>
      <x:c r="AH37" s="142"/>
      <x:c r="AI37" s="142"/>
      <x:c r="AJ37" s="142"/>
      <x:c r="AK37" s="142"/>
      <x:c r="AL37" s="148"/>
      <x:c r="AM37" s="147"/>
      <x:c r="AN37" s="147"/>
      <x:c r="AO37" s="147"/>
      <x:c r="AP37" s="147"/>
      <x:c r="AQ37" s="144"/>
      <x:c r="AR37" s="49"/>
      <x:c r="AS37" s="49"/>
      <x:c r="AT37" s="49"/>
      <x:c r="AU37" s="49"/>
      <x:c r="AV37" s="49"/>
    </x:row>
    <x:row r="38" ht="21" customHeight="1">
      <x:c r="A38" s="72">
        <x:v>5</x:v>
      </x:c>
      <x:c r="B38" s="176" t="str">
        <x:v>통합·품질 검증</x:v>
      </x:c>
      <x:c r="C38" s="35"/>
      <x:c r="D38" s="35"/>
      <x:c r="E38" s="120"/>
      <x:c r="F38" s="120"/>
      <x:c r="G38" s="35" t="str">
        <x:f>IF(OR(E38="",F38=""),"",IF(F38&lt;E38,"날짜 확인",F38-E38+1))</x:f>
      </x:c>
      <x:c r="H38" s="35"/>
      <x:c r="I38" s="36"/>
      <x:c r="J38" s="37"/>
      <x:c r="K38" s="38"/>
      <x:c r="L38" s="38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  <x:c r="AA38" s="36"/>
      <x:c r="AB38" s="36"/>
      <x:c r="AC38" s="36"/>
      <x:c r="AD38" s="36"/>
      <x:c r="AE38" s="36"/>
      <x:c r="AF38" s="36"/>
      <x:c r="AG38" s="36"/>
      <x:c r="AH38" s="36"/>
      <x:c r="AI38" s="36"/>
      <x:c r="AJ38" s="36"/>
      <x:c r="AK38" s="36"/>
      <x:c r="AL38" s="36"/>
      <x:c r="AM38" s="36"/>
      <x:c r="AN38" s="36"/>
      <x:c r="AO38" s="36"/>
      <x:c r="AP38" s="36"/>
      <x:c r="AQ38" s="36"/>
      <x:c r="AR38" s="26"/>
      <x:c r="AS38" s="26"/>
      <x:c r="AT38" s="26"/>
      <x:c r="AU38" s="26"/>
      <x:c r="AV38" s="26"/>
    </x:row>
    <x:row r="39" ht="17.25" customHeight="1">
      <x:c r="A39" s="39" t="str">
        <x:v>5.1</x:v>
      </x:c>
      <x:c r="B39" s="172" t="str">
        <x:v>인식·변환·변경 검출 검증</x:v>
      </x:c>
      <x:c r="C39" s="39"/>
      <x:c r="D39" s="40"/>
      <x:c r="E39" s="117"/>
      <x:c r="F39" s="117"/>
      <x:c r="G39" s="39" t="str">
        <x:f>IF(OR(E39="",F39=""),"",IF(F39&lt;E39,"날짜 확인",F39-E39+1))</x:f>
      </x:c>
      <x:c r="H39" s="42"/>
      <x:c r="I39" s="139"/>
      <x:c r="J39" s="140"/>
      <x:c r="K39" s="141"/>
      <x:c r="L39" s="141"/>
      <x:c r="M39" s="141"/>
      <x:c r="N39" s="142"/>
      <x:c r="O39" s="142"/>
      <x:c r="P39" s="142"/>
      <x:c r="Q39" s="142"/>
      <x:c r="R39" s="142"/>
      <x:c r="S39" s="141"/>
      <x:c r="T39" s="141"/>
      <x:c r="U39" s="141"/>
      <x:c r="V39" s="141"/>
      <x:c r="W39" s="141"/>
      <x:c r="X39" s="142"/>
      <x:c r="Y39" s="142"/>
      <x:c r="Z39" s="142"/>
      <x:c r="AA39" s="142"/>
      <x:c r="AB39" s="142"/>
      <x:c r="AC39" s="141"/>
      <x:c r="AD39" s="141"/>
      <x:c r="AE39" s="141"/>
      <x:c r="AF39" s="141"/>
      <x:c r="AG39" s="141"/>
      <x:c r="AH39" s="143"/>
      <x:c r="AI39" s="143"/>
      <x:c r="AJ39" s="143"/>
      <x:c r="AK39" s="143"/>
      <x:c r="AL39" s="143"/>
      <x:c r="AM39" s="144"/>
      <x:c r="AN39" s="144"/>
      <x:c r="AO39" s="144"/>
      <x:c r="AP39" s="144"/>
      <x:c r="AQ39" s="144"/>
      <x:c r="AR39" s="49"/>
      <x:c r="AS39" s="49"/>
      <x:c r="AT39" s="49"/>
      <x:c r="AU39" s="49"/>
      <x:c r="AV39" s="49"/>
    </x:row>
    <x:row r="40" ht="17.25" customHeight="1">
      <x:c r="A40" s="56" t="str">
        <x:v>5.1.1</x:v>
      </x:c>
      <x:c r="B40" s="172" t="str">
        <x:v>모듈 통합·회귀 테스트</x:v>
      </x:c>
      <x:c r="C40" s="59" t="str">
        <x:v>김성준</x:v>
      </x:c>
      <x:c r="D40" s="40" t="s">
        <x:v>28</x:v>
      </x:c>
      <x:c r="E40" s="117">
        <x:v>45085</x:v>
      </x:c>
      <x:c r="F40" s="118">
        <x:v>45092</x:v>
      </x:c>
      <x:c r="G40" s="39" t="n">
        <x:f t="shared" ref="G40:G41" si="5">IF(OR(E40="",F40=""),"",IF(F40&lt;E40,"날짜 확인",F40-E40+1))</x:f>
        <x:v>8</x:v>
      </x:c>
      <x:c r="H40" s="51">
        <x:v>1</x:v>
      </x:c>
      <x:c r="I40" s="145"/>
      <x:c r="J40" s="146"/>
      <x:c r="K40" s="144"/>
      <x:c r="L40" s="144"/>
      <x:c r="M40" s="144"/>
      <x:c r="N40" s="142"/>
      <x:c r="O40" s="142"/>
      <x:c r="P40" s="142"/>
      <x:c r="Q40" s="142"/>
      <x:c r="R40" s="142"/>
      <x:c r="S40" s="144"/>
      <x:c r="T40" s="144"/>
      <x:c r="U40" s="144"/>
      <x:c r="V40" s="144"/>
      <x:c r="W40" s="144"/>
      <x:c r="X40" s="142"/>
      <x:c r="Y40" s="142"/>
      <x:c r="Z40" s="142"/>
      <x:c r="AA40" s="142"/>
      <x:c r="AB40" s="142"/>
      <x:c r="AC40" s="144"/>
      <x:c r="AD40" s="144"/>
      <x:c r="AE40" s="144"/>
      <x:c r="AF40" s="144"/>
      <x:c r="AG40" s="144"/>
      <x:c r="AH40" s="142"/>
      <x:c r="AI40" s="142"/>
      <x:c r="AJ40" s="142"/>
      <x:c r="AK40" s="148"/>
      <x:c r="AL40" s="148"/>
      <x:c r="AM40" s="147"/>
      <x:c r="AN40" s="147"/>
      <x:c r="AO40" s="147"/>
      <x:c r="AP40" s="147"/>
      <x:c r="AQ40" s="144"/>
      <x:c r="AR40" s="49"/>
      <x:c r="AS40" s="49"/>
      <x:c r="AT40" s="49"/>
      <x:c r="AU40" s="49"/>
      <x:c r="AV40" s="49"/>
    </x:row>
    <x:row r="41" ht="17.25" customHeight="1">
      <x:c r="A41" s="56" t="str">
        <x:v>5.1.2</x:v>
      </x:c>
      <x:c r="B41" s="172" t="str">
        <x:v>실제 도면 정확도 검증·오류 개선</x:v>
      </x:c>
      <x:c r="C41" s="39"/>
      <x:c r="D41" s="40" t="s">
        <x:v>28</x:v>
      </x:c>
      <x:c r="E41" s="118">
        <x:v>45089</x:v>
      </x:c>
      <x:c r="F41" s="118">
        <x:v>45092</x:v>
      </x:c>
      <x:c r="G41" s="39" t="n">
        <x:f t="shared" si="5">IF(OR(E41="",F41=""),"",IF(F41&lt;E41,"날짜 확인",F41-E41+1))</x:f>
        <x:v>4</x:v>
      </x:c>
      <x:c r="H41" s="51">
        <x:v>1</x:v>
      </x:c>
      <x:c r="I41" s="145"/>
      <x:c r="J41" s="146"/>
      <x:c r="K41" s="144"/>
      <x:c r="L41" s="144"/>
      <x:c r="M41" s="144"/>
      <x:c r="N41" s="142"/>
      <x:c r="O41" s="142"/>
      <x:c r="P41" s="142"/>
      <x:c r="Q41" s="142"/>
      <x:c r="R41" s="142"/>
      <x:c r="S41" s="141"/>
      <x:c r="T41" s="141"/>
      <x:c r="U41" s="141"/>
      <x:c r="V41" s="141"/>
      <x:c r="W41" s="144"/>
      <x:c r="X41" s="142"/>
      <x:c r="Y41" s="142"/>
      <x:c r="Z41" s="142"/>
      <x:c r="AA41" s="142"/>
      <x:c r="AB41" s="142"/>
      <x:c r="AC41" s="144"/>
      <x:c r="AD41" s="144"/>
      <x:c r="AE41" s="144"/>
      <x:c r="AF41" s="144"/>
      <x:c r="AG41" s="144"/>
      <x:c r="AH41" s="142"/>
      <x:c r="AI41" s="142"/>
      <x:c r="AJ41" s="142"/>
      <x:c r="AK41" s="142"/>
      <x:c r="AL41" s="142"/>
      <x:c r="AM41" s="147"/>
      <x:c r="AN41" s="147"/>
      <x:c r="AO41" s="147"/>
      <x:c r="AP41" s="147"/>
      <x:c r="AQ41" s="144"/>
      <x:c r="AR41" s="49"/>
      <x:c r="AS41" s="49"/>
      <x:c r="AT41" s="49"/>
      <x:c r="AU41" s="49"/>
      <x:c r="AV41" s="49"/>
    </x:row>
    <x:row r="42" ht="21" customHeight="1">
      <x:c r="A42" s="72">
        <x:v>6</x:v>
      </x:c>
      <x:c r="B42" s="174" t="str">
        <x:v>최종 결과 보고</x:v>
      </x:c>
      <x:c r="C42" s="35"/>
      <x:c r="D42" s="35"/>
      <x:c r="E42" s="120"/>
      <x:c r="F42" s="120"/>
      <x:c r="G42" s="35" t="str">
        <x:f>IF(OR(E42="",F42=""),"",IF(F42&lt;E42,"날짜 확인",F42-E42+1))</x:f>
      </x:c>
      <x:c r="H42" s="35"/>
      <x:c r="I42" s="36"/>
      <x:c r="J42" s="37"/>
      <x:c r="K42" s="38"/>
      <x:c r="L42" s="38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  <x:c r="AA42" s="36"/>
      <x:c r="AB42" s="36"/>
      <x:c r="AC42" s="36"/>
      <x:c r="AD42" s="36"/>
      <x:c r="AE42" s="36"/>
      <x:c r="AF42" s="36"/>
      <x:c r="AG42" s="36"/>
      <x:c r="AH42" s="36"/>
      <x:c r="AI42" s="36"/>
      <x:c r="AJ42" s="36"/>
      <x:c r="AK42" s="36"/>
      <x:c r="AL42" s="36"/>
      <x:c r="AM42" s="36"/>
      <x:c r="AN42" s="36"/>
      <x:c r="AO42" s="36"/>
      <x:c r="AP42" s="36"/>
      <x:c r="AQ42" s="36"/>
      <x:c r="AR42" s="26"/>
      <x:c r="AS42" s="26"/>
      <x:c r="AT42" s="26"/>
      <x:c r="AU42" s="26"/>
      <x:c r="AV42" s="26"/>
    </x:row>
    <x:row r="43" ht="17.25" customHeight="1">
      <x:c r="A43" s="59">
        <x:v>6.1</x:v>
      </x:c>
      <x:c r="B43" s="172" t="str">
        <x:v>성과·사용 가이드 정리</x:v>
      </x:c>
      <x:c r="C43" s="39"/>
      <x:c r="D43" s="68"/>
      <x:c r="E43" s="117"/>
      <x:c r="F43" s="117"/>
      <x:c r="G43" s="39" t="str">
        <x:f>IF(OR(E43="",F43=""),"",IF(F43&lt;E43,"날짜 확인",F43-E43+1))</x:f>
      </x:c>
      <x:c r="H43" s="42"/>
      <x:c r="I43" s="139"/>
      <x:c r="J43" s="140"/>
      <x:c r="K43" s="141"/>
      <x:c r="L43" s="141"/>
      <x:c r="M43" s="141"/>
      <x:c r="N43" s="142"/>
      <x:c r="O43" s="142"/>
      <x:c r="P43" s="142"/>
      <x:c r="Q43" s="142"/>
      <x:c r="R43" s="142"/>
      <x:c r="S43" s="141"/>
      <x:c r="T43" s="141"/>
      <x:c r="U43" s="141"/>
      <x:c r="V43" s="141"/>
      <x:c r="W43" s="141"/>
      <x:c r="X43" s="142"/>
      <x:c r="Y43" s="142"/>
      <x:c r="Z43" s="142"/>
      <x:c r="AA43" s="142"/>
      <x:c r="AB43" s="142"/>
      <x:c r="AC43" s="141"/>
      <x:c r="AD43" s="141"/>
      <x:c r="AE43" s="141"/>
      <x:c r="AF43" s="141"/>
      <x:c r="AG43" s="141"/>
      <x:c r="AH43" s="143"/>
      <x:c r="AI43" s="143"/>
      <x:c r="AJ43" s="143"/>
      <x:c r="AK43" s="143"/>
      <x:c r="AL43" s="143"/>
      <x:c r="AM43" s="144"/>
      <x:c r="AN43" s="144"/>
      <x:c r="AO43" s="144"/>
      <x:c r="AP43" s="144"/>
      <x:c r="AQ43" s="144"/>
      <x:c r="AR43" s="49"/>
      <x:c r="AS43" s="49"/>
      <x:c r="AT43" s="49"/>
      <x:c r="AU43" s="49"/>
      <x:c r="AV43" s="49"/>
    </x:row>
    <x:row r="44" ht="17.25" customHeight="1">
      <x:c r="A44" s="55" t="s">
        <x:v>29</x:v>
      </x:c>
      <x:c r="B44" s="172" t="str">
        <x:v>최종 보고서·사용 설명서 작성</x:v>
      </x:c>
      <x:c r="C44" s="59" t="str">
        <x:v>문홍식</x:v>
      </x:c>
      <x:c r="D44" s="40" t="s">
        <x:v>15</x:v>
      </x:c>
      <x:c r="E44" s="117">
        <x:v>45089</x:v>
      </x:c>
      <x:c r="F44" s="117">
        <x:v>45091</x:v>
      </x:c>
      <x:c r="G44" s="39" t="n">
        <x:f t="shared" ref="G44:G45" si="6">IF(OR(E44="",F44=""),"",IF(F44&lt;E44,"날짜 확인",F44-E44+1))</x:f>
        <x:v>3</x:v>
      </x:c>
      <x:c r="H44" s="51">
        <x:v>1</x:v>
      </x:c>
      <x:c r="I44" s="145"/>
      <x:c r="J44" s="146"/>
      <x:c r="K44" s="144"/>
      <x:c r="L44" s="144"/>
      <x:c r="M44" s="144"/>
      <x:c r="N44" s="142"/>
      <x:c r="O44" s="142"/>
      <x:c r="P44" s="142"/>
      <x:c r="Q44" s="142"/>
      <x:c r="R44" s="142"/>
      <x:c r="S44" s="144"/>
      <x:c r="T44" s="144"/>
      <x:c r="U44" s="144"/>
      <x:c r="V44" s="144"/>
      <x:c r="W44" s="144"/>
      <x:c r="X44" s="142"/>
      <x:c r="Y44" s="142"/>
      <x:c r="Z44" s="142"/>
      <x:c r="AA44" s="142"/>
      <x:c r="AB44" s="142"/>
      <x:c r="AC44" s="141"/>
      <x:c r="AD44" s="141"/>
      <x:c r="AE44" s="160"/>
      <x:c r="AF44" s="161"/>
      <x:c r="AG44" s="161"/>
      <x:c r="AH44" s="142"/>
      <x:c r="AI44" s="142"/>
      <x:c r="AJ44" s="142"/>
      <x:c r="AK44" s="142"/>
      <x:c r="AL44" s="142"/>
      <x:c r="AM44" s="155"/>
      <x:c r="AN44" s="155"/>
      <x:c r="AO44" s="155"/>
      <x:c r="AP44" s="147"/>
      <x:c r="AQ44" s="147"/>
      <x:c r="AR44" s="49"/>
      <x:c r="AS44" s="49"/>
      <x:c r="AT44" s="49"/>
      <x:c r="AU44" s="49"/>
      <x:c r="AV44" s="49"/>
    </x:row>
    <x:row r="45" ht="17.25" customHeight="1">
      <x:c r="A45" s="55" t="s">
        <x:v>30</x:v>
      </x:c>
      <x:c r="B45" s="173" t="str">
        <x:v>최종 발표자료·시연 영상 제작</x:v>
      </x:c>
      <x:c r="C45" s="59" t="str">
        <x:v>김태훈</x:v>
      </x:c>
      <x:c r="D45" s="40" t="s">
        <x:v>23</x:v>
      </x:c>
      <x:c r="E45" s="117">
        <x:v>45089</x:v>
      </x:c>
      <x:c r="F45" s="117">
        <x:v>45091</x:v>
      </x:c>
      <x:c r="G45" s="39" t="n">
        <x:f t="shared" si="6">IF(OR(E45="",F45=""),"",IF(F45&lt;E45,"날짜 확인",F45-E45+1))</x:f>
        <x:v>3</x:v>
      </x:c>
      <x:c r="H45" s="51">
        <x:v>1</x:v>
      </x:c>
      <x:c r="I45" s="145"/>
      <x:c r="J45" s="146"/>
      <x:c r="K45" s="144"/>
      <x:c r="L45" s="144"/>
      <x:c r="M45" s="144"/>
      <x:c r="N45" s="142"/>
      <x:c r="O45" s="142"/>
      <x:c r="P45" s="142"/>
      <x:c r="Q45" s="142"/>
      <x:c r="R45" s="142"/>
      <x:c r="S45" s="144"/>
      <x:c r="T45" s="144"/>
      <x:c r="U45" s="144"/>
      <x:c r="V45" s="144"/>
      <x:c r="W45" s="144"/>
      <x:c r="X45" s="142"/>
      <x:c r="Y45" s="142"/>
      <x:c r="Z45" s="142"/>
      <x:c r="AA45" s="142"/>
      <x:c r="AB45" s="142"/>
      <x:c r="AC45" s="144"/>
      <x:c r="AD45" s="144"/>
      <x:c r="AE45" s="144"/>
      <x:c r="AF45" s="144"/>
      <x:c r="AG45" s="144"/>
      <x:c r="AH45" s="142"/>
      <x:c r="AI45" s="142"/>
      <x:c r="AJ45" s="142"/>
      <x:c r="AK45" s="142"/>
      <x:c r="AL45" s="142"/>
      <x:c r="AM45" s="147"/>
      <x:c r="AN45" s="147"/>
      <x:c r="AO45" s="147"/>
      <x:c r="AP45" s="166"/>
      <x:c r="AQ45" s="147"/>
      <x:c r="AR45" s="49"/>
      <x:c r="AS45" s="49"/>
      <x:c r="AT45" s="49"/>
      <x:c r="AU45" s="49"/>
      <x:c r="AV45" s="49"/>
    </x:row>
    <x:row r="46" ht="21" customHeight="1">
      <x:c r="A46" s="72">
        <x:v>7</x:v>
      </x:c>
      <x:c r="B46" s="176" t="str">
        <x:v>프로젝트 마무리</x:v>
      </x:c>
      <x:c r="C46" s="35"/>
      <x:c r="D46" s="35"/>
      <x:c r="E46" s="120"/>
      <x:c r="F46" s="120"/>
      <x:c r="G46" s="35" t="str">
        <x:f>IF(OR(E46="",F46=""),"",IF(F46&lt;E46,"날짜 확인",F46-E46+1))</x:f>
      </x:c>
      <x:c r="H46" s="35"/>
      <x:c r="I46" s="36"/>
      <x:c r="J46" s="37"/>
      <x:c r="K46" s="38"/>
      <x:c r="L46" s="38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  <x:c r="AA46" s="36"/>
      <x:c r="AB46" s="36"/>
      <x:c r="AC46" s="36"/>
      <x:c r="AD46" s="36"/>
      <x:c r="AE46" s="36"/>
      <x:c r="AF46" s="36"/>
      <x:c r="AG46" s="36"/>
      <x:c r="AH46" s="36"/>
      <x:c r="AI46" s="36"/>
      <x:c r="AJ46" s="36"/>
      <x:c r="AK46" s="36"/>
      <x:c r="AL46" s="36"/>
      <x:c r="AM46" s="36"/>
      <x:c r="AN46" s="36"/>
      <x:c r="AO46" s="36"/>
      <x:c r="AP46" s="36"/>
      <x:c r="AQ46" s="36"/>
      <x:c r="AR46" s="26"/>
      <x:c r="AS46" s="26"/>
      <x:c r="AT46" s="26"/>
      <x:c r="AU46" s="26"/>
      <x:c r="AV46" s="26"/>
    </x:row>
    <x:row r="47" ht="17.25" customHeight="1">
      <x:c r="A47" s="59" t="str">
        <x:v>7.1</x:v>
      </x:c>
      <x:c r="B47" s="172" t="str">
        <x:v>최종 시연·산출물 전달</x:v>
      </x:c>
      <x:c r="C47" s="39" t="s">
        <x:v>11</x:v>
      </x:c>
      <x:c r="D47" s="68"/>
      <x:c r="E47" s="117">
        <x:v>45093</x:v>
      </x:c>
      <x:c r="F47" s="117">
        <x:v>45093</x:v>
      </x:c>
      <x:c r="G47" s="39" t="n">
        <x:f>IF(OR(E47="",F47=""),"",IF(F47&lt;E47,"날짜 확인",F47-E47+1))</x:f>
        <x:v>1</x:v>
      </x:c>
      <x:c r="H47" s="51">
        <x:v>1</x:v>
      </x:c>
      <x:c r="I47" s="139"/>
      <x:c r="J47" s="140"/>
      <x:c r="K47" s="141"/>
      <x:c r="L47" s="141"/>
      <x:c r="M47" s="141"/>
      <x:c r="N47" s="142"/>
      <x:c r="O47" s="142"/>
      <x:c r="P47" s="142"/>
      <x:c r="Q47" s="142"/>
      <x:c r="R47" s="142"/>
      <x:c r="S47" s="141"/>
      <x:c r="T47" s="141"/>
      <x:c r="U47" s="141"/>
      <x:c r="V47" s="141"/>
      <x:c r="W47" s="141"/>
      <x:c r="X47" s="142"/>
      <x:c r="Y47" s="142"/>
      <x:c r="Z47" s="142"/>
      <x:c r="AA47" s="142"/>
      <x:c r="AB47" s="142"/>
      <x:c r="AC47" s="141"/>
      <x:c r="AD47" s="141"/>
      <x:c r="AE47" s="141"/>
      <x:c r="AF47" s="141"/>
      <x:c r="AG47" s="141"/>
      <x:c r="AH47" s="143"/>
      <x:c r="AI47" s="143"/>
      <x:c r="AJ47" s="143"/>
      <x:c r="AK47" s="143"/>
      <x:c r="AL47" s="143"/>
      <x:c r="AM47" s="144"/>
      <x:c r="AN47" s="144"/>
      <x:c r="AO47" s="144"/>
      <x:c r="AP47" s="144"/>
      <x:c r="AQ47" s="147"/>
      <x:c r="AR47" s="49"/>
      <x:c r="AS47" s="49"/>
      <x:c r="AT47" s="49"/>
      <x:c r="AU47" s="49"/>
      <x:c r="AV47" s="49"/>
    </x:row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</x:sheetData>
  <x:mergeCells>
    <x:mergeCell ref="F5:F7"/>
    <x:mergeCell ref="X6:AB6"/>
    <x:mergeCell ref="AC6:AG6"/>
    <x:mergeCell ref="AH6:AL6"/>
    <x:mergeCell ref="AM6:AQ6"/>
    <x:mergeCell ref="G5:G7"/>
    <x:mergeCell ref="H5:H7"/>
    <x:mergeCell ref="I6:M6"/>
    <x:mergeCell ref="N6:R6"/>
    <x:mergeCell ref="S6:W6"/>
    <x:mergeCell ref="A5:A7"/>
    <x:mergeCell ref="B5:B7"/>
    <x:mergeCell ref="C5:C7"/>
    <x:mergeCell ref="D5:D7"/>
    <x:mergeCell ref="E5:E7"/>
    <x:mergeCell ref="A1:B1"/>
    <x:mergeCell ref="F2:H2"/>
    <x:mergeCell ref="A2:B2"/>
    <x:mergeCell ref="F1:H1"/>
    <x:mergeCell ref="C1:E1"/>
    <x:mergeCell ref="C2:E2"/>
    <x:mergeCell ref="I1:S1"/>
    <x:mergeCell ref="I2:S2"/>
    <x:mergeCell ref="U1:W1"/>
    <x:mergeCell ref="Z1:AB1"/>
    <x:mergeCell ref="Z2:AB2"/>
    <x:mergeCell ref="AE1:AG1"/>
    <x:mergeCell ref="AE2:AG2"/>
    <x:mergeCell ref="AJ1:AM1"/>
    <x:mergeCell ref="AJ2:AQ2"/>
    <x:mergeCell ref="A4:H4"/>
    <x:mergeCell ref="I5:AQ5"/>
  </x:mergeCells>
  <x:conditionalFormatting sqref="H1:H8 H48:H1006">
    <x:cfRule type="colorScale" priority="3">
      <x:colorScale>
        <x:cfvo type="min"/>
        <x:cfvo type="max"/>
        <x:color rgb="FFFFFFFF"/>
        <x:color rgb="FF63C384"/>
      </x:colorScale>
    </x:cfRule>
  </x:conditionalFormatting>
  <x:conditionalFormatting sqref="H9:H47">
    <x:cfRule type="colorScale" priority="4">
      <x:colorScale>
        <x:cfvo type="percent" val="0"/>
        <x:cfvo type="percent" val="100"/>
        <x:color rgb="FFF3FDF3"/>
        <x:color rgb="FF63C384"/>
      </x:colorScale>
    </x:cfRule>
  </x:conditionalFormatting>
  <x:conditionalFormatting sqref="I9:AQ47">
    <x:cfRule type="expression" dxfId="2" priority="5">
      <x:formula>AND(ISNUMBER($E9),ISNUMBER($F9),ISNUMBER(I$7),$F9&gt;=$E9,$E9&lt;=I$7+$H$3-1,$F9&gt;=I$7,$C9="팀원 전체")</x:formula>
    </x:cfRule>
    <x:cfRule type="expression" dxfId="3" priority="6">
      <x:formula>AND(ISNUMBER($E9),ISNUMBER($F9),ISNUMBER(I$7),$F9&gt;=$E9,$E9&lt;=I$7+$H$3-1,$F9&gt;=I$7,$C9="김성준")</x:formula>
    </x:cfRule>
    <x:cfRule type="expression" dxfId="4" priority="7">
      <x:formula>AND(ISNUMBER($E9),ISNUMBER($F9),ISNUMBER(I$7),$F9&gt;=$E9,$E9&lt;=I$7+$H$3-1,$F9&gt;=I$7,$C9="이원석")</x:formula>
    </x:cfRule>
    <x:cfRule type="expression" dxfId="5" priority="8">
      <x:formula>AND(ISNUMBER($E9),ISNUMBER($F9),ISNUMBER(I$7),$F9&gt;=$E9,$E9&lt;=I$7+$H$3-1,$F9&gt;=I$7,$C9="문홍식")</x:formula>
    </x:cfRule>
    <x:cfRule type="expression" dxfId="6" priority="9">
      <x:formula>AND(ISNUMBER($E9),ISNUMBER($F9),ISNUMBER(I$7),$F9&gt;=$E9,$E9&lt;=I$7+$H$3-1,$F9&gt;=I$7,$C9="김태훈")</x:formula>
    </x:cfRule>
    <x:cfRule type="expression" dxfId="7" priority="10">
      <x:formula>AND(ISNUMBER($E9),ISNUMBER($F9),ISNUMBER(I$7),$F9&gt;=$E9,$E9&lt;=I$7+$H$3-1,$F9&gt;=I$7,ISNUMBER(SEARCH(",",$C9)))</x:formula>
    </x:cfRule>
    <x:cfRule type="expression" dxfId="8" priority="11">
      <x:formula>AND(ISNUMBER($E9),ISNUMBER($F9),ISNUMBER(I$7),$F9&gt;=$E9,$E9&lt;=I$7+$H$3-1,$F9&gt;=I$7,NOT(ISNUMBER(SEARCH(",",$C9))),$C9&lt;&gt;"팀원 전체",$C9&lt;&gt;"김성준",$C9&lt;&gt;"이원석",$C9&lt;&gt;"문홍식",$C9&lt;&gt;"김태훈")</x:formula>
    </x:cfRule>
  </x:conditionalFormatting>
  <x:conditionalFormatting sqref="E9:F47">
    <x:cfRule type="expression" dxfId="9" priority="12">
      <x:formula>AND(ISNUMBER($E9),ISNUMBER($F9),$F9&lt;$E9)</x:formula>
    </x:cfRule>
  </x:conditionalFormatting>
  <x:pageMargins left="0.7" right="0.7" top="0.75" bottom="0.75" header="0" footer="0"/>
  <x:pageSetup xmlns:r="http://schemas.openxmlformats.org/officeDocument/2006/relationships" paperSize="9" orientation="portrait" r:id="rId1"/>
</x:worksheet>
</file>